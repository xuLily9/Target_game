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user/Desktop/"/>
    </mc:Choice>
  </mc:AlternateContent>
  <xr:revisionPtr revIDLastSave="0" documentId="8_{FF7F0A8B-E331-AF4D-B46E-2DCAF6C66E94}" xr6:coauthVersionLast="47" xr6:coauthVersionMax="47" xr10:uidLastSave="{00000000-0000-0000-0000-000000000000}"/>
  <bookViews>
    <workbookView xWindow="1400" yWindow="660" windowWidth="29400" windowHeight="17280" xr2:uid="{00000000-000D-0000-FFFF-FFFF00000000}"/>
  </bookViews>
  <sheets>
    <sheet name="Team A" sheetId="1" r:id="rId1"/>
    <sheet name="Scoring Backend" sheetId="2" r:id="rId2"/>
    <sheet name="Team B" sheetId="3" r:id="rId3"/>
    <sheet name="Team C" sheetId="4" r:id="rId4"/>
    <sheet name="Summary" sheetId="5" r:id="rId5"/>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 l="1"/>
  <c r="B21" i="5"/>
  <c r="B20" i="5"/>
  <c r="J84" i="4"/>
  <c r="M22" i="5" s="1"/>
  <c r="B48" i="5" s="1"/>
  <c r="J83" i="4"/>
  <c r="L22" i="5" s="1"/>
  <c r="J82" i="4"/>
  <c r="K22" i="5" s="1"/>
  <c r="J81" i="4"/>
  <c r="J22" i="5" s="1"/>
  <c r="J80" i="4"/>
  <c r="I22" i="5" s="1"/>
  <c r="J79" i="4"/>
  <c r="H22" i="5" s="1"/>
  <c r="J78" i="4"/>
  <c r="G22" i="5" s="1"/>
  <c r="J77" i="4"/>
  <c r="F22" i="5" s="1"/>
  <c r="J76" i="4"/>
  <c r="J91" i="4" s="1"/>
  <c r="G76" i="4"/>
  <c r="J75" i="4"/>
  <c r="D22" i="5" s="1"/>
  <c r="G75" i="4"/>
  <c r="J74" i="4"/>
  <c r="G74" i="4"/>
  <c r="J73" i="4"/>
  <c r="C22" i="5" s="1"/>
  <c r="G73" i="4"/>
  <c r="G49" i="4"/>
  <c r="F15" i="5" s="1"/>
  <c r="G48" i="4"/>
  <c r="D15" i="5" s="1"/>
  <c r="G47" i="4"/>
  <c r="C15" i="5" s="1"/>
  <c r="G46" i="4"/>
  <c r="G45" i="4"/>
  <c r="B15" i="5" s="1"/>
  <c r="G15" i="5" s="1"/>
  <c r="H15" i="5" s="1"/>
  <c r="J84" i="3"/>
  <c r="M21" i="5" s="1"/>
  <c r="B47" i="5" s="1"/>
  <c r="J83" i="3"/>
  <c r="L21" i="5" s="1"/>
  <c r="J82" i="3"/>
  <c r="K21" i="5" s="1"/>
  <c r="J81" i="3"/>
  <c r="J21" i="5" s="1"/>
  <c r="J80" i="3"/>
  <c r="I21" i="5" s="1"/>
  <c r="J79" i="3"/>
  <c r="H21" i="5" s="1"/>
  <c r="J78" i="3"/>
  <c r="G21" i="5" s="1"/>
  <c r="J77" i="3"/>
  <c r="F21" i="5" s="1"/>
  <c r="J76" i="3"/>
  <c r="J91" i="3" s="1"/>
  <c r="G76" i="3"/>
  <c r="J75" i="3"/>
  <c r="D21" i="5" s="1"/>
  <c r="G75" i="3"/>
  <c r="J74" i="3"/>
  <c r="G74" i="3"/>
  <c r="J73" i="3"/>
  <c r="C21" i="5" s="1"/>
  <c r="G73" i="3"/>
  <c r="G49" i="3"/>
  <c r="F14" i="5" s="1"/>
  <c r="G48" i="3"/>
  <c r="D14" i="5" s="1"/>
  <c r="G47" i="3"/>
  <c r="C14" i="5" s="1"/>
  <c r="G46" i="3"/>
  <c r="G45" i="3"/>
  <c r="B14" i="5" s="1"/>
  <c r="G14" i="5" s="1"/>
  <c r="H14" i="5" s="1"/>
  <c r="J91" i="1"/>
  <c r="J90" i="1"/>
  <c r="J84" i="1"/>
  <c r="M20" i="5" s="1"/>
  <c r="B46" i="5" s="1"/>
  <c r="J83" i="1"/>
  <c r="L20" i="5" s="1"/>
  <c r="J82" i="1"/>
  <c r="K20" i="5" s="1"/>
  <c r="J81" i="1"/>
  <c r="J20" i="5" s="1"/>
  <c r="J80" i="1"/>
  <c r="I20" i="5" s="1"/>
  <c r="J79" i="1"/>
  <c r="H20" i="5" s="1"/>
  <c r="J78" i="1"/>
  <c r="G20" i="5" s="1"/>
  <c r="J77" i="1"/>
  <c r="J88" i="1" s="1"/>
  <c r="J76" i="1"/>
  <c r="E20" i="5" s="1"/>
  <c r="G76" i="1"/>
  <c r="J75" i="1"/>
  <c r="D20" i="5" s="1"/>
  <c r="G75" i="1"/>
  <c r="J74" i="1"/>
  <c r="G74" i="1"/>
  <c r="J73" i="1"/>
  <c r="C20" i="5" s="1"/>
  <c r="G73" i="1"/>
  <c r="G49" i="1"/>
  <c r="F13" i="5" s="1"/>
  <c r="G48" i="1"/>
  <c r="D13" i="5" s="1"/>
  <c r="G47" i="1"/>
  <c r="C13" i="5" s="1"/>
  <c r="G46" i="1"/>
  <c r="G45" i="1"/>
  <c r="B13" i="5" s="1"/>
  <c r="G13" i="5" s="1"/>
  <c r="J89" i="3" l="1"/>
  <c r="H13" i="5"/>
  <c r="B7" i="5"/>
  <c r="E21" i="5"/>
  <c r="E22" i="5"/>
  <c r="O22" i="5" s="1"/>
  <c r="P22" i="5" s="1"/>
  <c r="Q22" i="5" s="1"/>
  <c r="J88" i="3"/>
  <c r="J92" i="1"/>
  <c r="N20" i="5" s="1"/>
  <c r="O20" i="5" s="1"/>
  <c r="J90" i="3"/>
  <c r="J88" i="4"/>
  <c r="E15" i="5"/>
  <c r="F20" i="5"/>
  <c r="J89" i="4"/>
  <c r="E14" i="5"/>
  <c r="J89" i="1"/>
  <c r="J92" i="3"/>
  <c r="N21" i="5" s="1"/>
  <c r="J90" i="4"/>
  <c r="E13" i="5"/>
  <c r="J92" i="4"/>
  <c r="N22" i="5" s="1"/>
  <c r="O21" i="5" l="1"/>
  <c r="P21" i="5" s="1"/>
  <c r="Q21" i="5" s="1"/>
  <c r="B8" i="5"/>
  <c r="P20" i="5"/>
  <c r="Q20" i="5" s="1"/>
</calcChain>
</file>

<file path=xl/sharedStrings.xml><?xml version="1.0" encoding="utf-8"?>
<sst xmlns="http://schemas.openxmlformats.org/spreadsheetml/2006/main" count="575" uniqueCount="193">
  <si>
    <t>CONSTRUCTION SITE OF THE FUTURE</t>
  </si>
  <si>
    <t>Human-Robot Collaboration Design Challenge</t>
  </si>
  <si>
    <t>TEAM A DECISION SHEET</t>
  </si>
  <si>
    <t>Team Name</t>
  </si>
  <si>
    <t>Team A</t>
  </si>
  <si>
    <t>Architecture Lead</t>
  </si>
  <si>
    <t>Robot Engineer</t>
  </si>
  <si>
    <t>Cost Manager</t>
  </si>
  <si>
    <t>PROJECT SCENARIO</t>
  </si>
  <si>
    <t>Your team has been hired to plan material delivery operations for a new high-rise office building. Construction materials must move from a temporary storage area to multiple work zones. The client wants the work completed quickly, safely, and within budget. Because of labour shortages and interest in automation, your team may combine human workers and construction robots.</t>
  </si>
  <si>
    <t>PROJECT REQUIREMENTS</t>
  </si>
  <si>
    <t>Requirement</t>
  </si>
  <si>
    <t>Value</t>
  </si>
  <si>
    <t>Project Duration</t>
  </si>
  <si>
    <t>5 Days</t>
  </si>
  <si>
    <t>Total Materials</t>
  </si>
  <si>
    <t>100 Units</t>
  </si>
  <si>
    <t>Required Capacity</t>
  </si>
  <si>
    <t>20 Units / Day</t>
  </si>
  <si>
    <t>Budget Limit</t>
  </si>
  <si>
    <t>200 Credits</t>
  </si>
  <si>
    <t>TEAM ROLES</t>
  </si>
  <si>
    <t>Role</t>
  </si>
  <si>
    <t>Focus</t>
  </si>
  <si>
    <t>Discussion Lens</t>
  </si>
  <si>
    <t>Worker wellbeing; safe site operation; practical implementation</t>
  </si>
  <si>
    <t>Can this work safely on a real site?</t>
  </si>
  <si>
    <t>Automation; productivity; technical performance</t>
  </si>
  <si>
    <t>How can robots improve throughput?</t>
  </si>
  <si>
    <t>Budget control; resource efficiency</t>
  </si>
  <si>
    <t>Is the solution affordable and efficient?</t>
  </si>
  <si>
    <t>AVAILABLE RESOURCES</t>
  </si>
  <si>
    <t>Human Resources</t>
  </si>
  <si>
    <t>Cost</t>
  </si>
  <si>
    <t>Capacity</t>
  </si>
  <si>
    <t>Support Rule</t>
  </si>
  <si>
    <t>Construction Worker</t>
  </si>
  <si>
    <t>1 Unit / Day</t>
  </si>
  <si>
    <t>Workers divide daily capacity between robot support and manual transport.</t>
  </si>
  <si>
    <t>Robot Resources</t>
  </si>
  <si>
    <t>Human Support Requirement</t>
  </si>
  <si>
    <t>Basic Robot</t>
  </si>
  <si>
    <t>3 Units / Day</t>
  </si>
  <si>
    <t>Uses 0.5 worker-day of support capacity.</t>
  </si>
  <si>
    <t>Advanced Robot</t>
  </si>
  <si>
    <t>5 Units / Day</t>
  </si>
  <si>
    <t>Uses 1 worker-day of support capacity.</t>
  </si>
  <si>
    <t>Autonomous Robot Fleet</t>
  </si>
  <si>
    <t>8 Units / Day</t>
  </si>
  <si>
    <t>Uses 3 worker-days of support capacity.</t>
  </si>
  <si>
    <t>ROUND 1 - COST-DRIVEN DESIGN</t>
  </si>
  <si>
    <t>Client Objective: deliver the project at the lowest possible cost. Select resources, then check whether the solution is feasible.</t>
  </si>
  <si>
    <t>Resource Selection</t>
  </si>
  <si>
    <t>Quantity</t>
  </si>
  <si>
    <t>Notes</t>
  </si>
  <si>
    <t>Dashboard Results</t>
  </si>
  <si>
    <t>Auto-Calculated</t>
  </si>
  <si>
    <t>Construction Workers</t>
  </si>
  <si>
    <t>Split capacity between support and manual work</t>
  </si>
  <si>
    <t>Net Daily Capacity (after support)</t>
  </si>
  <si>
    <t>Basic Robots</t>
  </si>
  <si>
    <t>0.5 worker-day support load per robot</t>
  </si>
  <si>
    <t>Robot Support Load (Worker-Days)</t>
  </si>
  <si>
    <t>Advanced Robots</t>
  </si>
  <si>
    <t>1 worker-day support load per robot</t>
  </si>
  <si>
    <t>Human Support Check</t>
  </si>
  <si>
    <t>Autonomous Fleets</t>
  </si>
  <si>
    <t>3 worker-days support load per fleet</t>
  </si>
  <si>
    <t>Capacity Check</t>
  </si>
  <si>
    <t>Total Cost</t>
  </si>
  <si>
    <t>Round 1 Team Discussion</t>
  </si>
  <si>
    <t>Why did your team choose this solution?</t>
  </si>
  <si>
    <t>What was the most important cost-saving decision?</t>
  </si>
  <si>
    <t>What practical risk did you consider?</t>
  </si>
  <si>
    <t>Round 1 Winner Rule</t>
  </si>
  <si>
    <t>Lowest-cost feasible solution wins.</t>
  </si>
  <si>
    <t>ROUND 2 - TARGET VALUE DESIGN</t>
  </si>
  <si>
    <t>The client has revised the project priorities. Cost remains important, but the client also wants improved Productivity, Operational Safety, and Manual Physical Effort Reduction. Your goal is to maximize target value while staying mindful of budget, safety, support feasibility, capacity, and whether the selected HRC strategy fits the actual resource mix.</t>
  </si>
  <si>
    <t>Step 1 - Select HRC Strategy</t>
  </si>
  <si>
    <t>Productivity</t>
  </si>
  <si>
    <t>Operational Safety</t>
  </si>
  <si>
    <t>Manual Physical Effort Reduction</t>
  </si>
  <si>
    <t>Scoring Lens</t>
  </si>
  <si>
    <t>Rule</t>
  </si>
  <si>
    <t>Human-Led</t>
  </si>
  <si>
    <t>Performance Score</t>
  </si>
  <si>
    <t>Weighted value</t>
  </si>
  <si>
    <t>Collaborative</t>
  </si>
  <si>
    <t>Budget Penalty</t>
  </si>
  <si>
    <t>Cost above 200</t>
  </si>
  <si>
    <t>Robot-Led</t>
  </si>
  <si>
    <t>Safety Penalty</t>
  </si>
  <si>
    <t>Safety below 70</t>
  </si>
  <si>
    <t>Selected Strategy</t>
  </si>
  <si>
    <t>Winner</t>
  </si>
  <si>
    <t>Highest final score among feasible + strategy-fit teams</t>
  </si>
  <si>
    <t>Step 2 - Resource Selection</t>
  </si>
  <si>
    <t>Manual Effort Reduction</t>
  </si>
  <si>
    <t>Auto Cost</t>
  </si>
  <si>
    <t>Step 3/4 - Auto Performance and Final Score</t>
  </si>
  <si>
    <t>Auto Value</t>
  </si>
  <si>
    <t>Budget Overrun Penalty</t>
  </si>
  <si>
    <t>Final Value Score</t>
  </si>
  <si>
    <t>Constraint Check</t>
  </si>
  <si>
    <t>Status</t>
  </si>
  <si>
    <t>Budget &lt;= 200</t>
  </si>
  <si>
    <t>Safety &gt;= 30</t>
  </si>
  <si>
    <t>Human Support Feasible</t>
  </si>
  <si>
    <t>Capacity &gt;= 20 Units / Day</t>
  </si>
  <si>
    <t>HRC Strategy Fit</t>
  </si>
  <si>
    <t>WINNER DETERMINATION</t>
  </si>
  <si>
    <t>Round</t>
  </si>
  <si>
    <t>Winner Rule</t>
  </si>
  <si>
    <t>Round 1</t>
  </si>
  <si>
    <t>Round 2</t>
  </si>
  <si>
    <t>Highest final value score wins.</t>
  </si>
  <si>
    <t>Tie-breaker</t>
  </si>
  <si>
    <t>If tied in Round 2, the lower-cost solution wins.</t>
  </si>
  <si>
    <t>REFLECTION</t>
  </si>
  <si>
    <t>Reflection Question</t>
  </si>
  <si>
    <t>Team Response</t>
  </si>
  <si>
    <t>Which role influenced the final decision the most?</t>
  </si>
  <si>
    <t>What was the most difficult trade-off?</t>
  </si>
  <si>
    <t>What changed most between Round 1 and Round 2?</t>
  </si>
  <si>
    <t>Final Team Recommendation (one sentence)</t>
  </si>
  <si>
    <t>Facilitator note: yellow cells are editable inputs. Blue dashboard cells calculate automatically. The Scoring Backend sheet contains editable costs, capacities, value weights, constraints, and the 50 / 50 / 50 baseline scoring assumption.</t>
  </si>
  <si>
    <t>SCORING BACKEND - Editable Workshop Parameters</t>
  </si>
  <si>
    <t>Resource</t>
  </si>
  <si>
    <t>Daily Capacity</t>
  </si>
  <si>
    <t>Resource Note</t>
  </si>
  <si>
    <t>SUPPORT COEFFICIENTS</t>
  </si>
  <si>
    <t>Meaning</t>
  </si>
  <si>
    <t>Only unassigned workers provide manual transport capacity.</t>
  </si>
  <si>
    <t>Worker-Day Support Load per Basic Robot</t>
  </si>
  <si>
    <t>Each Basic Robot uses half of one worker's daily capacity for setup, monitoring, and coordination.</t>
  </si>
  <si>
    <t>Worker-Day Support Load per Advanced Robot</t>
  </si>
  <si>
    <t>Each Advanced Robot uses one worker-day of support capacity.</t>
  </si>
  <si>
    <t>Robot transport capacity.</t>
  </si>
  <si>
    <t>Worker-Day Support Load per Autonomous Fleet</t>
  </si>
  <si>
    <t>Each fleet uses three worker-days of support capacity.</t>
  </si>
  <si>
    <t>Fleet transport capacity.</t>
  </si>
  <si>
    <t>HRC Strategy</t>
  </si>
  <si>
    <t>Productivity Effect</t>
  </si>
  <si>
    <t>Safety Effect</t>
  </si>
  <si>
    <t>Manual Effort Effect</t>
  </si>
  <si>
    <t>Robot Type</t>
  </si>
  <si>
    <t>Cost / Unit</t>
  </si>
  <si>
    <t>Project Parameter</t>
  </si>
  <si>
    <t>Value Constraint</t>
  </si>
  <si>
    <t>Metric</t>
  </si>
  <si>
    <t>Weight</t>
  </si>
  <si>
    <t>Higher Means</t>
  </si>
  <si>
    <t>Project Duration (Days)</t>
  </si>
  <si>
    <t>Faster / more efficient task execution</t>
  </si>
  <si>
    <t>Total Materials (Units)</t>
  </si>
  <si>
    <t>Minimum Safety Before Penalty</t>
  </si>
  <si>
    <t>Lower accident or hazardous-event likelihood</t>
  </si>
  <si>
    <t>Required Capacity (Units / Day)</t>
  </si>
  <si>
    <t>Less lifting, carrying, fatigue, and strain</t>
  </si>
  <si>
    <t>Budget Limit (Credits)</t>
  </si>
  <si>
    <t>Base Productivity Score</t>
  </si>
  <si>
    <t>Human-Led Max Robot Capacity Share</t>
  </si>
  <si>
    <t>Base Operational Safety Score</t>
  </si>
  <si>
    <t>Collaborative Min Robot Capacity Share</t>
  </si>
  <si>
    <t>Base Manual Physical Effort Reduction Score</t>
  </si>
  <si>
    <t>Collaborative Max Robot Capacity Share</t>
  </si>
  <si>
    <t>Robot-Led Min Robot Capacity Share</t>
  </si>
  <si>
    <t>SCORING NOTE</t>
  </si>
  <si>
    <t>Round 1 resource selections determine capacity, support feasibility, and cost. All human resources use one Construction Worker pool. Robot support is modelled as a worker-day capacity load rather than a headcount. A worker may use part of the day for robot setup, monitoring, and coordination, then use any remaining capacity for manual transport. Basic Robot support uses a 0.5 worker-day-per-robot coefficient. Round 2 follows the Target Value Design model: select one HRC strategy and the same robot types used in Round 1, then compare weighted performance score after budget and safety penalties. The selected HRC strategy must also fit the actual robot capacity share: Human-Led is low robot share, Collaborative is mixed share, and Robot-Led is high robot share. Facilitators may change any yellow backend value before the workshop.</t>
  </si>
  <si>
    <t>TEAM B DECISION SHEET</t>
  </si>
  <si>
    <t>Team B</t>
  </si>
  <si>
    <t>TEAM C DECISION SHEET</t>
  </si>
  <si>
    <t>Team C</t>
  </si>
  <si>
    <t>WORKSHOP SUMMARY - TEAM COMPARISON</t>
  </si>
  <si>
    <t>This dashboard compares Team A, Team B, and Team C. Round 1 rewards the lowest-cost capacity-and-support feasible solution; the budget check remains visible for discussion. Round 2 uses the target value design score: weighted performance minus budget and safety penalties. A team must pass human support, capacity, and HRC strategy-fit checks to be eligible. If tied, the lower-cost solution wins.</t>
  </si>
  <si>
    <t>Winner Dashboard</t>
  </si>
  <si>
    <t>Result</t>
  </si>
  <si>
    <t>Round 1 Winner</t>
  </si>
  <si>
    <t>Round 2 Winner</t>
  </si>
  <si>
    <t>Round 2 Tie-Breaker</t>
  </si>
  <si>
    <t>Highest final value score among eligible strategy-fit teams, then lowest cost</t>
  </si>
  <si>
    <t>Round 1 Comparison</t>
  </si>
  <si>
    <t>Net Daily Capacity</t>
  </si>
  <si>
    <t>Human Support</t>
  </si>
  <si>
    <t>Budget Check</t>
  </si>
  <si>
    <t>Feasible?</t>
  </si>
  <si>
    <t>Winner Score</t>
  </si>
  <si>
    <t>Round 2 Comparison</t>
  </si>
  <si>
    <t>Strategy</t>
  </si>
  <si>
    <t>Strategy Fit</t>
  </si>
  <si>
    <t>Eligible?</t>
  </si>
  <si>
    <t>Winner?</t>
  </si>
  <si>
    <t>Chart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</si>
</sst>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4"/>
      <color rgb="FFFFFFFF"/>
      <name val="Aptos"/>
    </font>
    <font>
      <sz val="11"/>
      <name val="Aptos"/>
    </font>
    <font>
      <b/>
      <sz val="11"/>
      <color rgb="FFFFFFFF"/>
      <name val="Aptos"/>
    </font>
    <font>
      <b/>
      <sz val="18"/>
      <color rgb="FFFFFFFF"/>
      <name val="Aptos"/>
    </font>
    <font>
      <b/>
      <sz val="13"/>
      <color rgb="FF17365D"/>
      <name val="Aptos"/>
    </font>
    <font>
      <b/>
      <sz val="13"/>
      <color rgb="FFFFFFFF"/>
      <name val="Aptos"/>
    </font>
    <font>
      <b/>
      <sz val="12"/>
      <color rgb="FFFFFFFF"/>
      <name val="Aptos"/>
    </font>
    <font>
      <i/>
      <sz val="11"/>
      <color rgb="FF595959"/>
      <name val="Aptos"/>
    </font>
    <font>
      <b/>
      <sz val="16"/>
      <color rgb="FFFFFFFF"/>
      <name val="Aptos"/>
    </font>
    <font>
      <b/>
      <sz val="11"/>
      <color rgb="FFFFFFFF"/>
      <name val="Carlito"/>
    </font>
    <font>
      <b/>
      <sz val="11"/>
      <name val="Carlito"/>
    </font>
  </fonts>
  <fills count="11">
    <fill>
      <patternFill patternType="none"/>
    </fill>
    <fill>
      <patternFill patternType="gray125"/>
    </fill>
    <fill>
      <patternFill patternType="solid">
        <fgColor rgb="FF17365D"/>
      </patternFill>
    </fill>
    <fill>
      <patternFill patternType="solid">
        <fgColor rgb="FF0F6B78"/>
      </patternFill>
    </fill>
    <fill>
      <patternFill patternType="solid">
        <fgColor rgb="FF1F4E78"/>
      </patternFill>
    </fill>
    <fill>
      <patternFill patternType="solid">
        <fgColor rgb="FFF2F2F2"/>
      </patternFill>
    </fill>
    <fill>
      <patternFill patternType="solid">
        <fgColor rgb="FFFFF2CC"/>
      </patternFill>
    </fill>
    <fill>
      <patternFill patternType="solid">
        <fgColor rgb="FFD9EAF7"/>
      </patternFill>
    </fill>
    <fill>
      <patternFill patternType="solid">
        <fgColor rgb="FF0F6F7A"/>
      </patternFill>
    </fill>
    <fill>
      <patternFill patternType="solid">
        <fgColor rgb="FFFFF2CC"/>
      </patternFill>
    </fill>
    <fill>
      <patternFill patternType="solid">
        <fgColor rgb="FFD9EAF7"/>
      </patternFill>
    </fill>
  </fills>
  <borders count="2">
    <border>
      <left/>
      <right/>
      <top/>
      <bottom/>
      <diagonal/>
    </border>
    <border>
      <left style="thin">
        <color rgb="FFD9E2E3"/>
      </left>
      <right style="thin">
        <color rgb="FFD9E2E3"/>
      </right>
      <top style="thin">
        <color rgb="FFD9E2E3"/>
      </top>
      <bottom style="thin">
        <color rgb="FFD9E2E3"/>
      </bottom>
      <diagonal/>
    </border>
  </borders>
  <cellStyleXfs count="1">
    <xf numFmtId="0" fontId="0" fillId="0" borderId="0"/>
  </cellStyleXfs>
  <cellXfs count="27">
    <xf numFmtId="0" fontId="0" fillId="0" borderId="0" xfId="0"/>
    <xf numFmtId="0" fontId="2" fillId="0" borderId="0" xfId="0" applyFont="1"/>
    <xf numFmtId="0" fontId="3" fillId="3" borderId="0" xfId="0" applyFont="1" applyFill="1" applyAlignment="1">
      <alignment horizontal="center" vertical="center" wrapText="1"/>
    </xf>
    <xf numFmtId="0" fontId="2" fillId="0" borderId="0" xfId="0" applyFont="1" applyAlignment="1">
      <alignment vertical="center" wrapText="1"/>
    </xf>
    <xf numFmtId="0" fontId="2" fillId="6" borderId="0" xfId="0" applyFont="1" applyFill="1" applyAlignment="1">
      <alignment vertical="center" wrapText="1"/>
    </xf>
    <xf numFmtId="0" fontId="2" fillId="6" borderId="0" xfId="0" applyFont="1" applyFill="1"/>
    <xf numFmtId="0" fontId="2" fillId="7" borderId="0" xfId="0" applyFont="1" applyFill="1" applyAlignment="1">
      <alignment vertical="center" wrapText="1"/>
    </xf>
    <xf numFmtId="0" fontId="2" fillId="0" borderId="0" xfId="0" applyFont="1" applyAlignment="1">
      <alignment wrapText="1"/>
    </xf>
    <xf numFmtId="0" fontId="10" fillId="8"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0" fillId="8" borderId="1" xfId="0" applyFont="1" applyFill="1" applyBorder="1" applyAlignment="1">
      <alignment wrapText="1"/>
    </xf>
    <xf numFmtId="9" fontId="2" fillId="9" borderId="1" xfId="0" applyNumberFormat="1" applyFont="1" applyFill="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1" fontId="2" fillId="9" borderId="0" xfId="0" applyNumberFormat="1" applyFont="1" applyFill="1" applyAlignment="1">
      <alignment vertical="center" wrapText="1"/>
    </xf>
    <xf numFmtId="0" fontId="2" fillId="6" borderId="0" xfId="0" applyFont="1" applyFill="1" applyAlignment="1">
      <alignment vertical="center" wrapText="1"/>
    </xf>
    <xf numFmtId="0" fontId="0" fillId="0" borderId="0" xfId="0"/>
    <xf numFmtId="0" fontId="6" fillId="3" borderId="0" xfId="0" applyFont="1" applyFill="1" applyAlignment="1">
      <alignment horizontal="center"/>
    </xf>
    <xf numFmtId="0" fontId="2" fillId="5" borderId="0" xfId="0" applyFont="1" applyFill="1" applyAlignment="1">
      <alignment vertical="top" wrapText="1"/>
    </xf>
    <xf numFmtId="0" fontId="2" fillId="5" borderId="0" xfId="0" applyFont="1" applyFill="1" applyAlignment="1">
      <alignment wrapText="1"/>
    </xf>
    <xf numFmtId="0" fontId="7" fillId="4" borderId="0" xfId="0" applyFont="1" applyFill="1" applyAlignment="1">
      <alignment horizontal="left"/>
    </xf>
    <xf numFmtId="0" fontId="4" fillId="2" borderId="0" xfId="0" applyFont="1" applyFill="1" applyAlignment="1">
      <alignment horizontal="center"/>
    </xf>
    <xf numFmtId="0" fontId="8" fillId="5" borderId="0" xfId="0" applyFont="1" applyFill="1" applyAlignment="1">
      <alignment wrapText="1"/>
    </xf>
    <xf numFmtId="0" fontId="5" fillId="7" borderId="0" xfId="0" applyFont="1" applyFill="1" applyAlignment="1">
      <alignment horizontal="center"/>
    </xf>
    <xf numFmtId="0" fontId="3" fillId="4" borderId="0" xfId="0" applyFont="1" applyFill="1"/>
    <xf numFmtId="0" fontId="1" fillId="2" borderId="0" xfId="0" applyFont="1" applyFill="1" applyAlignment="1">
      <alignment horizontal="center"/>
    </xf>
    <xf numFmtId="0" fontId="9" fillId="2" borderId="0" xfId="0" applyFont="1" applyFill="1" applyAlignment="1">
      <alignment horizontal="center"/>
    </xf>
  </cellXfs>
  <cellStyles count="1">
    <cellStyle name="Normal" xfId="0" builtinId="0"/>
  </cellStyles>
  <dxfs count="45">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375623"/>
      </font>
      <fill>
        <patternFill patternType="solid">
          <bgColor rgb="FFE2F0D9"/>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9C0006"/>
      </font>
      <fill>
        <patternFill patternType="solid">
          <bgColor rgb="FFFCE4D6"/>
        </patternFill>
      </fill>
    </dxf>
    <dxf>
      <font>
        <b/>
        <color rgb="FF375623"/>
      </font>
      <fill>
        <patternFill patternType="solid">
          <bgColor rgb="FFE2F0D9"/>
        </patternFill>
      </fill>
    </dxf>
    <dxf>
      <font>
        <b/>
        <color rgb="FF375623"/>
      </font>
      <fill>
        <patternFill patternType="solid">
          <bgColor rgb="FFE2F0D9"/>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ill>
        <patternFill patternType="solid">
          <fgColor rgb="FFF4CCCC"/>
        </patternFill>
      </fill>
    </dxf>
    <dxf>
      <fill>
        <patternFill patternType="solid">
          <fgColor rgb="FFD9EAD3"/>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Round 2 Final Value Score by Team</a:t>
            </a:r>
          </a:p>
        </c:rich>
      </c:tx>
      <c:overlay val="0"/>
    </c:title>
    <c:autoTitleDeleted val="0"/>
    <c:plotArea>
      <c:layout/>
      <c:barChart>
        <c:barDir val="col"/>
        <c:grouping val="clustered"/>
        <c:varyColors val="0"/>
        <c:ser>
          <c:idx val="0"/>
          <c:order val="0"/>
          <c:tx>
            <c:v>Final Value Score</c:v>
          </c:tx>
          <c:spPr>
            <a:ln>
              <a:prstDash val="solid"/>
            </a:ln>
          </c:spPr>
          <c:invertIfNegative val="1"/>
          <c:cat>
            <c:strRef>
              <c:f>Summary!$A$46:$A$48</c:f>
              <c:strCache>
                <c:ptCount val="3"/>
                <c:pt idx="0">
                  <c:v>Team A</c:v>
                </c:pt>
                <c:pt idx="1">
                  <c:v>Team B</c:v>
                </c:pt>
                <c:pt idx="2">
                  <c:v>Team C</c:v>
                </c:pt>
              </c:strCache>
            </c:strRef>
          </c:cat>
          <c:val>
            <c:numRef>
              <c:f>Summary!$B$46:$B$48</c:f>
              <c:numCache>
                <c:formatCode>General</c:formatCode>
                <c:ptCount val="3"/>
                <c:pt idx="0">
                  <c:v>0</c:v>
                </c:pt>
                <c:pt idx="1">
                  <c:v>0</c:v>
                </c:pt>
                <c:pt idx="2">
                  <c:v>0</c:v>
                </c:pt>
              </c:numCache>
            </c:numRef>
          </c:val>
          <c:extLst>
            <c:ext xmlns:c16="http://schemas.microsoft.com/office/drawing/2014/chart" uri="{C3380CC4-5D6E-409C-BE32-E72D297353CC}">
              <c16:uniqueId val="{00000000-60B3-B841-A436-D7753BA9C80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8</xdr:col>
      <xdr:colOff>0</xdr:colOff>
      <xdr:row>42</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showGridLines="0" tabSelected="1" topLeftCell="A62" workbookViewId="0">
      <selection activeCell="D77" sqref="D77"/>
    </sheetView>
  </sheetViews>
  <sheetFormatPr baseColWidth="10" defaultColWidth="8.83203125" defaultRowHeight="15"/>
  <cols>
    <col min="1" max="1" width="34" customWidth="1"/>
    <col min="2" max="2" width="24" customWidth="1"/>
    <col min="3" max="3" width="42" customWidth="1"/>
    <col min="4" max="4" width="25" customWidth="1"/>
    <col min="5" max="5" width="18" customWidth="1"/>
    <col min="6" max="6" width="38" customWidth="1"/>
    <col min="7" max="7" width="19" customWidth="1"/>
    <col min="8" max="8" width="4" customWidth="1"/>
    <col min="9" max="9" width="38" customWidth="1"/>
    <col min="10" max="10" width="20" customWidth="1"/>
  </cols>
  <sheetData>
    <row r="1" spans="1:10" ht="24">
      <c r="A1" s="21" t="s">
        <v>0</v>
      </c>
      <c r="B1" s="16"/>
      <c r="C1" s="16"/>
      <c r="D1" s="16"/>
      <c r="E1" s="16"/>
      <c r="F1" s="16"/>
      <c r="G1" s="16"/>
      <c r="H1" s="16"/>
      <c r="I1" s="16"/>
      <c r="J1" s="16"/>
    </row>
    <row r="2" spans="1:10" ht="18">
      <c r="A2" s="23" t="s">
        <v>1</v>
      </c>
      <c r="B2" s="16"/>
      <c r="C2" s="16"/>
      <c r="D2" s="16"/>
      <c r="E2" s="16"/>
      <c r="F2" s="16"/>
      <c r="G2" s="16"/>
      <c r="H2" s="16"/>
      <c r="I2" s="16"/>
      <c r="J2" s="16"/>
    </row>
    <row r="3" spans="1:10">
      <c r="A3" s="1"/>
      <c r="B3" s="1"/>
      <c r="C3" s="1"/>
      <c r="D3" s="1"/>
      <c r="E3" s="1"/>
      <c r="F3" s="1"/>
      <c r="G3" s="1"/>
      <c r="H3" s="1"/>
      <c r="I3" s="1"/>
      <c r="J3" s="1"/>
    </row>
    <row r="4" spans="1:10" ht="18">
      <c r="A4" s="17" t="s">
        <v>2</v>
      </c>
      <c r="B4" s="16"/>
      <c r="C4" s="16"/>
      <c r="D4" s="16"/>
      <c r="E4" s="16"/>
      <c r="F4" s="16"/>
      <c r="G4" s="16"/>
      <c r="H4" s="16"/>
      <c r="I4" s="16"/>
      <c r="J4" s="16"/>
    </row>
    <row r="5" spans="1:10">
      <c r="A5" s="1"/>
      <c r="B5" s="1"/>
      <c r="C5" s="1"/>
      <c r="D5" s="1"/>
      <c r="E5" s="1"/>
      <c r="F5" s="1"/>
      <c r="G5" s="1"/>
      <c r="H5" s="1"/>
      <c r="I5" s="1"/>
      <c r="J5" s="1"/>
    </row>
    <row r="6" spans="1:10">
      <c r="A6" s="1" t="s">
        <v>3</v>
      </c>
      <c r="B6" s="5" t="s">
        <v>4</v>
      </c>
      <c r="C6" s="1"/>
      <c r="D6" s="1"/>
      <c r="E6" s="1"/>
      <c r="F6" s="1"/>
      <c r="G6" s="1"/>
      <c r="H6" s="1"/>
      <c r="I6" s="1"/>
      <c r="J6" s="1"/>
    </row>
    <row r="7" spans="1:10">
      <c r="A7" s="1" t="s">
        <v>5</v>
      </c>
      <c r="B7" s="5"/>
      <c r="C7" s="1"/>
      <c r="D7" s="1"/>
      <c r="E7" s="1"/>
      <c r="F7" s="1"/>
      <c r="G7" s="1"/>
      <c r="H7" s="1"/>
      <c r="I7" s="1"/>
      <c r="J7" s="1"/>
    </row>
    <row r="8" spans="1:10">
      <c r="A8" s="1" t="s">
        <v>6</v>
      </c>
      <c r="B8" s="5"/>
      <c r="C8" s="1"/>
      <c r="D8" s="1"/>
      <c r="E8" s="1"/>
      <c r="F8" s="1"/>
      <c r="G8" s="1"/>
      <c r="H8" s="1"/>
      <c r="I8" s="1"/>
      <c r="J8" s="1"/>
    </row>
    <row r="9" spans="1:10">
      <c r="A9" s="1" t="s">
        <v>7</v>
      </c>
      <c r="B9" s="5"/>
      <c r="C9" s="1"/>
      <c r="D9" s="1"/>
      <c r="E9" s="1"/>
      <c r="F9" s="1"/>
      <c r="G9" s="1"/>
      <c r="H9" s="1"/>
      <c r="I9" s="1"/>
      <c r="J9" s="1"/>
    </row>
    <row r="10" spans="1:10">
      <c r="A10" s="1"/>
      <c r="B10" s="1"/>
      <c r="C10" s="1"/>
      <c r="D10" s="1"/>
      <c r="E10" s="1"/>
      <c r="F10" s="1"/>
      <c r="G10" s="1"/>
      <c r="H10" s="1"/>
      <c r="I10" s="1"/>
      <c r="J10" s="1"/>
    </row>
    <row r="11" spans="1:10" ht="16">
      <c r="A11" s="20" t="s">
        <v>8</v>
      </c>
      <c r="B11" s="16"/>
      <c r="C11" s="16"/>
      <c r="D11" s="16"/>
      <c r="E11" s="16"/>
      <c r="F11" s="16"/>
      <c r="G11" s="16"/>
      <c r="H11" s="16"/>
      <c r="I11" s="16"/>
      <c r="J11" s="16"/>
    </row>
    <row r="12" spans="1:10" ht="24" customHeight="1">
      <c r="A12" s="18" t="s">
        <v>9</v>
      </c>
      <c r="B12" s="16"/>
      <c r="C12" s="16"/>
      <c r="D12" s="16"/>
      <c r="E12" s="16"/>
      <c r="F12" s="16"/>
      <c r="G12" s="16"/>
      <c r="H12" s="16"/>
      <c r="I12" s="16"/>
      <c r="J12" s="16"/>
    </row>
    <row r="13" spans="1:10" ht="24" customHeight="1">
      <c r="A13" s="16"/>
      <c r="B13" s="16"/>
      <c r="C13" s="16"/>
      <c r="D13" s="16"/>
      <c r="E13" s="16"/>
      <c r="F13" s="16"/>
      <c r="G13" s="16"/>
      <c r="H13" s="16"/>
      <c r="I13" s="16"/>
      <c r="J13" s="16"/>
    </row>
    <row r="14" spans="1:10" ht="24" customHeight="1">
      <c r="A14" s="16"/>
      <c r="B14" s="16"/>
      <c r="C14" s="16"/>
      <c r="D14" s="16"/>
      <c r="E14" s="16"/>
      <c r="F14" s="16"/>
      <c r="G14" s="16"/>
      <c r="H14" s="16"/>
      <c r="I14" s="16"/>
      <c r="J14" s="16"/>
    </row>
    <row r="15" spans="1:10" ht="24" customHeight="1">
      <c r="A15" s="16"/>
      <c r="B15" s="16"/>
      <c r="C15" s="16"/>
      <c r="D15" s="16"/>
      <c r="E15" s="16"/>
      <c r="F15" s="16"/>
      <c r="G15" s="16"/>
      <c r="H15" s="16"/>
      <c r="I15" s="16"/>
      <c r="J15" s="16"/>
    </row>
    <row r="16" spans="1:10">
      <c r="A16" s="1"/>
      <c r="B16" s="1"/>
      <c r="C16" s="1"/>
      <c r="D16" s="1"/>
      <c r="E16" s="1"/>
      <c r="F16" s="1"/>
      <c r="G16" s="1"/>
      <c r="H16" s="1"/>
      <c r="I16" s="1"/>
      <c r="J16" s="1"/>
    </row>
    <row r="17" spans="1:10" ht="16">
      <c r="A17" s="20" t="s">
        <v>10</v>
      </c>
      <c r="B17" s="16"/>
      <c r="C17" s="16"/>
      <c r="D17" s="16"/>
      <c r="E17" s="16"/>
      <c r="F17" s="16"/>
      <c r="G17" s="1"/>
      <c r="H17" s="1"/>
      <c r="I17" s="1"/>
      <c r="J17" s="1"/>
    </row>
    <row r="18" spans="1:10" ht="16">
      <c r="A18" s="2" t="s">
        <v>11</v>
      </c>
      <c r="B18" s="2" t="s">
        <v>12</v>
      </c>
      <c r="C18" s="1"/>
      <c r="D18" s="1"/>
      <c r="E18" s="1"/>
      <c r="F18" s="1"/>
      <c r="G18" s="1"/>
      <c r="H18" s="1"/>
      <c r="I18" s="1"/>
      <c r="J18" s="1"/>
    </row>
    <row r="19" spans="1:10" ht="16">
      <c r="A19" s="3" t="s">
        <v>13</v>
      </c>
      <c r="B19" s="3" t="s">
        <v>14</v>
      </c>
      <c r="C19" s="1"/>
      <c r="D19" s="1"/>
      <c r="E19" s="1"/>
      <c r="F19" s="1"/>
      <c r="G19" s="1"/>
      <c r="H19" s="1"/>
      <c r="I19" s="1"/>
      <c r="J19" s="1"/>
    </row>
    <row r="20" spans="1:10" ht="16">
      <c r="A20" s="3" t="s">
        <v>15</v>
      </c>
      <c r="B20" s="3" t="s">
        <v>16</v>
      </c>
      <c r="C20" s="1"/>
      <c r="D20" s="1"/>
      <c r="E20" s="1"/>
      <c r="F20" s="1"/>
      <c r="G20" s="1"/>
      <c r="H20" s="1"/>
      <c r="I20" s="1"/>
      <c r="J20" s="1"/>
    </row>
    <row r="21" spans="1:10" ht="16">
      <c r="A21" s="3" t="s">
        <v>17</v>
      </c>
      <c r="B21" s="3" t="s">
        <v>18</v>
      </c>
      <c r="C21" s="1"/>
      <c r="D21" s="1"/>
      <c r="E21" s="1"/>
      <c r="F21" s="1"/>
      <c r="G21" s="1"/>
      <c r="H21" s="1"/>
      <c r="I21" s="1"/>
      <c r="J21" s="1"/>
    </row>
    <row r="22" spans="1:10" ht="16">
      <c r="A22" s="3" t="s">
        <v>19</v>
      </c>
      <c r="B22" s="3" t="s">
        <v>20</v>
      </c>
      <c r="C22" s="1"/>
      <c r="D22" s="1"/>
      <c r="E22" s="1"/>
      <c r="F22" s="1"/>
      <c r="G22" s="1"/>
      <c r="H22" s="1"/>
      <c r="I22" s="1"/>
      <c r="J22" s="1"/>
    </row>
    <row r="23" spans="1:10">
      <c r="A23" s="1"/>
      <c r="B23" s="1"/>
      <c r="C23" s="1"/>
      <c r="D23" s="1"/>
      <c r="E23" s="1"/>
      <c r="F23" s="1"/>
      <c r="G23" s="1"/>
      <c r="H23" s="1"/>
      <c r="I23" s="1"/>
      <c r="J23" s="1"/>
    </row>
    <row r="24" spans="1:10" ht="16">
      <c r="A24" s="20" t="s">
        <v>21</v>
      </c>
      <c r="B24" s="16"/>
      <c r="C24" s="16"/>
      <c r="D24" s="16"/>
      <c r="E24" s="16"/>
      <c r="F24" s="16"/>
      <c r="G24" s="16"/>
      <c r="H24" s="16"/>
      <c r="I24" s="16"/>
      <c r="J24" s="16"/>
    </row>
    <row r="25" spans="1:10" ht="16">
      <c r="A25" s="2" t="s">
        <v>22</v>
      </c>
      <c r="B25" s="2" t="s">
        <v>23</v>
      </c>
      <c r="C25" s="2" t="s">
        <v>24</v>
      </c>
      <c r="D25" s="1"/>
      <c r="E25" s="1"/>
      <c r="F25" s="1"/>
      <c r="G25" s="1"/>
      <c r="H25" s="1"/>
      <c r="I25" s="1"/>
      <c r="J25" s="1"/>
    </row>
    <row r="26" spans="1:10" ht="34" customHeight="1">
      <c r="A26" s="3" t="s">
        <v>5</v>
      </c>
      <c r="B26" s="3" t="s">
        <v>25</v>
      </c>
      <c r="C26" s="3" t="s">
        <v>26</v>
      </c>
      <c r="D26" s="1"/>
      <c r="E26" s="1"/>
      <c r="F26" s="1"/>
      <c r="G26" s="1"/>
      <c r="H26" s="1"/>
      <c r="I26" s="1"/>
      <c r="J26" s="1"/>
    </row>
    <row r="27" spans="1:10" ht="34" customHeight="1">
      <c r="A27" s="3" t="s">
        <v>6</v>
      </c>
      <c r="B27" s="3" t="s">
        <v>27</v>
      </c>
      <c r="C27" s="3" t="s">
        <v>28</v>
      </c>
      <c r="D27" s="1"/>
      <c r="E27" s="1"/>
      <c r="F27" s="1"/>
      <c r="G27" s="1"/>
      <c r="H27" s="1"/>
      <c r="I27" s="1"/>
      <c r="J27" s="1"/>
    </row>
    <row r="28" spans="1:10" ht="34" customHeight="1">
      <c r="A28" s="3" t="s">
        <v>7</v>
      </c>
      <c r="B28" s="3" t="s">
        <v>29</v>
      </c>
      <c r="C28" s="3" t="s">
        <v>30</v>
      </c>
      <c r="D28" s="1"/>
      <c r="E28" s="1"/>
      <c r="F28" s="1"/>
      <c r="G28" s="1"/>
      <c r="H28" s="1"/>
      <c r="I28" s="1"/>
      <c r="J28" s="1"/>
    </row>
    <row r="29" spans="1:10">
      <c r="A29" s="1"/>
      <c r="B29" s="1"/>
      <c r="C29" s="1"/>
      <c r="D29" s="1"/>
      <c r="E29" s="1"/>
      <c r="F29" s="1"/>
      <c r="G29" s="1"/>
      <c r="H29" s="1"/>
      <c r="I29" s="1"/>
      <c r="J29" s="1"/>
    </row>
    <row r="30" spans="1:10" ht="16">
      <c r="A30" s="20" t="s">
        <v>31</v>
      </c>
      <c r="B30" s="16"/>
      <c r="C30" s="16"/>
      <c r="D30" s="16"/>
      <c r="E30" s="16"/>
      <c r="F30" s="16"/>
      <c r="G30" s="16"/>
      <c r="H30" s="16"/>
      <c r="I30" s="16"/>
      <c r="J30" s="16"/>
    </row>
    <row r="31" spans="1:10" ht="16">
      <c r="A31" s="2" t="s">
        <v>32</v>
      </c>
      <c r="B31" s="2" t="s">
        <v>33</v>
      </c>
      <c r="C31" s="2" t="s">
        <v>34</v>
      </c>
      <c r="D31" s="2" t="s">
        <v>35</v>
      </c>
      <c r="E31" s="1"/>
      <c r="F31" s="1"/>
      <c r="G31" s="1"/>
      <c r="H31" s="1"/>
      <c r="I31" s="1"/>
      <c r="J31" s="1"/>
    </row>
    <row r="32" spans="1:10" ht="48">
      <c r="A32" s="3" t="s">
        <v>36</v>
      </c>
      <c r="B32" s="3">
        <v>10</v>
      </c>
      <c r="C32" s="3" t="s">
        <v>37</v>
      </c>
      <c r="D32" s="3" t="s">
        <v>38</v>
      </c>
      <c r="E32" s="1"/>
      <c r="F32" s="1"/>
      <c r="G32" s="1"/>
      <c r="H32" s="1"/>
      <c r="I32" s="1"/>
      <c r="J32" s="1"/>
    </row>
    <row r="33" spans="1:10">
      <c r="A33" s="3"/>
      <c r="B33" s="3"/>
      <c r="C33" s="3"/>
      <c r="D33" s="3"/>
      <c r="E33" s="1"/>
      <c r="F33" s="1"/>
      <c r="G33" s="1"/>
      <c r="H33" s="1"/>
      <c r="I33" s="1"/>
      <c r="J33" s="1"/>
    </row>
    <row r="34" spans="1:10">
      <c r="A34" s="1"/>
      <c r="B34" s="1"/>
      <c r="C34" s="1"/>
      <c r="D34" s="1"/>
      <c r="E34" s="1"/>
      <c r="F34" s="1"/>
      <c r="G34" s="1"/>
      <c r="H34" s="1"/>
      <c r="I34" s="1"/>
      <c r="J34" s="1"/>
    </row>
    <row r="35" spans="1:10" ht="32">
      <c r="A35" s="2" t="s">
        <v>39</v>
      </c>
      <c r="B35" s="2" t="s">
        <v>33</v>
      </c>
      <c r="C35" s="2" t="s">
        <v>34</v>
      </c>
      <c r="D35" s="2" t="s">
        <v>40</v>
      </c>
      <c r="E35" s="1"/>
      <c r="F35" s="1"/>
      <c r="G35" s="1"/>
      <c r="H35" s="1"/>
      <c r="I35" s="1"/>
      <c r="J35" s="1"/>
    </row>
    <row r="36" spans="1:10" ht="32">
      <c r="A36" s="3" t="s">
        <v>41</v>
      </c>
      <c r="B36" s="3">
        <v>20</v>
      </c>
      <c r="C36" s="3" t="s">
        <v>42</v>
      </c>
      <c r="D36" s="3" t="s">
        <v>43</v>
      </c>
      <c r="E36" s="1"/>
      <c r="F36" s="1"/>
      <c r="G36" s="1"/>
      <c r="H36" s="1"/>
      <c r="I36" s="1"/>
      <c r="J36" s="1"/>
    </row>
    <row r="37" spans="1:10" ht="32">
      <c r="A37" s="3" t="s">
        <v>44</v>
      </c>
      <c r="B37" s="3">
        <v>35</v>
      </c>
      <c r="C37" s="3" t="s">
        <v>45</v>
      </c>
      <c r="D37" s="3" t="s">
        <v>46</v>
      </c>
      <c r="E37" s="1"/>
      <c r="F37" s="1"/>
      <c r="G37" s="1"/>
      <c r="H37" s="1"/>
      <c r="I37" s="1"/>
      <c r="J37" s="1"/>
    </row>
    <row r="38" spans="1:10" ht="32">
      <c r="A38" s="3" t="s">
        <v>47</v>
      </c>
      <c r="B38" s="3">
        <v>60</v>
      </c>
      <c r="C38" s="3" t="s">
        <v>48</v>
      </c>
      <c r="D38" s="3" t="s">
        <v>49</v>
      </c>
      <c r="E38" s="1"/>
      <c r="F38" s="1"/>
      <c r="G38" s="1"/>
      <c r="H38" s="1"/>
      <c r="I38" s="1"/>
      <c r="J38" s="1"/>
    </row>
    <row r="39" spans="1:10">
      <c r="A39" s="1"/>
      <c r="B39" s="1"/>
      <c r="C39" s="1"/>
      <c r="D39" s="1"/>
      <c r="E39" s="1"/>
      <c r="F39" s="1"/>
      <c r="G39" s="1"/>
      <c r="H39" s="1"/>
      <c r="I39" s="1"/>
      <c r="J39" s="1"/>
    </row>
    <row r="40" spans="1:10" ht="16">
      <c r="A40" s="20" t="s">
        <v>50</v>
      </c>
      <c r="B40" s="16"/>
      <c r="C40" s="16"/>
      <c r="D40" s="16"/>
      <c r="E40" s="16"/>
      <c r="F40" s="16"/>
      <c r="G40" s="16"/>
      <c r="H40" s="16"/>
      <c r="I40" s="16"/>
      <c r="J40" s="16"/>
    </row>
    <row r="41" spans="1:10">
      <c r="A41" s="19" t="s">
        <v>51</v>
      </c>
      <c r="B41" s="16"/>
      <c r="C41" s="16"/>
      <c r="D41" s="16"/>
      <c r="E41" s="16"/>
      <c r="F41" s="16"/>
      <c r="G41" s="16"/>
      <c r="H41" s="16"/>
      <c r="I41" s="16"/>
      <c r="J41" s="16"/>
    </row>
    <row r="42" spans="1:10">
      <c r="A42" s="16"/>
      <c r="B42" s="16"/>
      <c r="C42" s="16"/>
      <c r="D42" s="16"/>
      <c r="E42" s="16"/>
      <c r="F42" s="16"/>
      <c r="G42" s="16"/>
      <c r="H42" s="16"/>
      <c r="I42" s="16"/>
      <c r="J42" s="16"/>
    </row>
    <row r="43" spans="1:10">
      <c r="A43" s="1"/>
      <c r="B43" s="1"/>
      <c r="C43" s="1"/>
      <c r="D43" s="1"/>
      <c r="E43" s="1"/>
      <c r="F43" s="1"/>
      <c r="G43" s="1"/>
      <c r="H43" s="1"/>
      <c r="I43" s="1"/>
      <c r="J43" s="1"/>
    </row>
    <row r="44" spans="1:10" ht="16">
      <c r="A44" s="2" t="s">
        <v>52</v>
      </c>
      <c r="B44" s="2" t="s">
        <v>53</v>
      </c>
      <c r="C44" s="2" t="s">
        <v>54</v>
      </c>
      <c r="D44" s="1"/>
      <c r="E44" s="1"/>
      <c r="F44" s="2" t="s">
        <v>55</v>
      </c>
      <c r="G44" s="2" t="s">
        <v>56</v>
      </c>
      <c r="H44" s="1"/>
      <c r="I44" s="1"/>
      <c r="J44" s="1"/>
    </row>
    <row r="45" spans="1:10" ht="16">
      <c r="A45" s="3" t="s">
        <v>57</v>
      </c>
      <c r="B45" s="4"/>
      <c r="C45" s="3" t="s">
        <v>58</v>
      </c>
      <c r="D45" s="1"/>
      <c r="E45" s="1"/>
      <c r="F45" s="3" t="s">
        <v>59</v>
      </c>
      <c r="G45" s="6" t="str">
        <f>IF(COUNT(B45:B48)=0,"",MAX(0,B45-G46)*'Scoring Backend'!$C$4+B46*'Scoring Backend'!$C$6+B47*'Scoring Backend'!$C$7+B48*'Scoring Backend'!$C$8)</f>
        <v/>
      </c>
      <c r="H45" s="1"/>
      <c r="I45" s="1"/>
      <c r="J45" s="1"/>
    </row>
    <row r="46" spans="1:10" ht="16">
      <c r="A46" s="3" t="s">
        <v>60</v>
      </c>
      <c r="B46" s="4"/>
      <c r="C46" s="3" t="s">
        <v>61</v>
      </c>
      <c r="D46" s="1"/>
      <c r="E46" s="1"/>
      <c r="F46" s="3" t="s">
        <v>62</v>
      </c>
      <c r="G46" s="6" t="str">
        <f>IF(COUNT(B45:B48)=0,"",B46*'Scoring Backend'!$G$4+B47*'Scoring Backend'!$G$5+B48*'Scoring Backend'!$G$6)</f>
        <v/>
      </c>
      <c r="H46" s="1"/>
      <c r="I46" s="1"/>
      <c r="J46" s="1"/>
    </row>
    <row r="47" spans="1:10" ht="16">
      <c r="A47" s="3" t="s">
        <v>63</v>
      </c>
      <c r="B47" s="4"/>
      <c r="C47" s="3" t="s">
        <v>64</v>
      </c>
      <c r="D47" s="1"/>
      <c r="E47" s="1"/>
      <c r="F47" s="3" t="s">
        <v>65</v>
      </c>
      <c r="G47" s="6" t="str">
        <f>IF(COUNT(B45:B48)=0,"",IF(B45&gt;=G46,"PASS","FAIL"))</f>
        <v/>
      </c>
      <c r="H47" s="1"/>
      <c r="I47" s="1"/>
      <c r="J47" s="1"/>
    </row>
    <row r="48" spans="1:10" ht="16">
      <c r="A48" s="3" t="s">
        <v>66</v>
      </c>
      <c r="B48" s="4"/>
      <c r="C48" s="3" t="s">
        <v>67</v>
      </c>
      <c r="D48" s="1"/>
      <c r="E48" s="1"/>
      <c r="F48" s="3" t="s">
        <v>68</v>
      </c>
      <c r="G48" s="6" t="str">
        <f>IF(COUNT(B45:B48)=0,"",IF(G45&gt;='Scoring Backend'!$B$20,"PASS","FAIL"))</f>
        <v/>
      </c>
      <c r="H48" s="1"/>
      <c r="I48" s="1"/>
      <c r="J48" s="1"/>
    </row>
    <row r="49" spans="1:10" ht="16">
      <c r="A49" s="1"/>
      <c r="B49" s="1"/>
      <c r="C49" s="1"/>
      <c r="D49" s="1"/>
      <c r="E49" s="1"/>
      <c r="F49" s="3" t="s">
        <v>69</v>
      </c>
      <c r="G49" s="6" t="str">
        <f>IF(COUNT(B45:B48)=0,"",B45*'Scoring Backend'!$B$4+B46*'Scoring Backend'!$B$6+B47*'Scoring Backend'!$B$7+B48*'Scoring Backend'!$B$8)</f>
        <v/>
      </c>
      <c r="H49" s="1"/>
      <c r="I49" s="1"/>
      <c r="J49" s="1"/>
    </row>
    <row r="50" spans="1:10">
      <c r="A50" s="1"/>
      <c r="B50" s="1"/>
      <c r="C50" s="1"/>
      <c r="D50" s="1"/>
      <c r="E50" s="1"/>
      <c r="F50" s="1"/>
      <c r="G50" s="1"/>
      <c r="H50" s="1"/>
      <c r="I50" s="1"/>
      <c r="J50" s="1"/>
    </row>
    <row r="51" spans="1:10">
      <c r="A51" s="1"/>
      <c r="B51" s="1"/>
      <c r="C51" s="1"/>
      <c r="D51" s="1"/>
      <c r="E51" s="1"/>
      <c r="F51" s="1"/>
      <c r="G51" s="1"/>
      <c r="H51" s="1"/>
      <c r="I51" s="1"/>
      <c r="J51" s="1"/>
    </row>
    <row r="52" spans="1:10" ht="16">
      <c r="A52" s="2" t="s">
        <v>70</v>
      </c>
      <c r="B52" s="2"/>
      <c r="C52" s="2"/>
      <c r="D52" s="1"/>
      <c r="E52" s="1"/>
      <c r="F52" s="1"/>
      <c r="G52" s="1"/>
      <c r="H52" s="1"/>
      <c r="I52" s="1"/>
      <c r="J52" s="1"/>
    </row>
    <row r="53" spans="1:10" ht="16">
      <c r="A53" s="3" t="s">
        <v>71</v>
      </c>
      <c r="B53" s="15"/>
      <c r="C53" s="16"/>
      <c r="D53" s="1"/>
      <c r="E53" s="1"/>
      <c r="F53" s="1"/>
      <c r="G53" s="1"/>
      <c r="H53" s="1"/>
      <c r="I53" s="1"/>
      <c r="J53" s="1"/>
    </row>
    <row r="54" spans="1:10" ht="32">
      <c r="A54" s="3" t="s">
        <v>72</v>
      </c>
      <c r="B54" s="15"/>
      <c r="C54" s="16"/>
      <c r="D54" s="1"/>
      <c r="E54" s="1"/>
      <c r="F54" s="1"/>
      <c r="G54" s="1"/>
      <c r="H54" s="1"/>
      <c r="I54" s="1"/>
      <c r="J54" s="1"/>
    </row>
    <row r="55" spans="1:10" ht="16">
      <c r="A55" s="3" t="s">
        <v>73</v>
      </c>
      <c r="B55" s="15"/>
      <c r="C55" s="16"/>
      <c r="D55" s="1"/>
      <c r="E55" s="1"/>
      <c r="F55" s="1"/>
      <c r="G55" s="1"/>
      <c r="H55" s="1"/>
      <c r="I55" s="1"/>
      <c r="J55" s="1"/>
    </row>
    <row r="56" spans="1:10" ht="32">
      <c r="A56" s="3" t="s">
        <v>74</v>
      </c>
      <c r="B56" s="3" t="s">
        <v>75</v>
      </c>
      <c r="C56" s="3"/>
      <c r="D56" s="1"/>
      <c r="E56" s="1"/>
      <c r="F56" s="1"/>
      <c r="G56" s="1"/>
      <c r="H56" s="1"/>
      <c r="I56" s="1"/>
      <c r="J56" s="1"/>
    </row>
    <row r="57" spans="1:10">
      <c r="A57" s="1"/>
      <c r="B57" s="1"/>
      <c r="C57" s="1"/>
      <c r="D57" s="1"/>
      <c r="E57" s="1"/>
      <c r="F57" s="1"/>
      <c r="G57" s="1"/>
      <c r="H57" s="1"/>
      <c r="I57" s="1"/>
      <c r="J57" s="1"/>
    </row>
    <row r="58" spans="1:10">
      <c r="A58" s="1"/>
      <c r="B58" s="1"/>
      <c r="C58" s="1"/>
      <c r="D58" s="1"/>
      <c r="E58" s="1"/>
      <c r="F58" s="1"/>
      <c r="G58" s="1"/>
      <c r="H58" s="1"/>
      <c r="I58" s="1"/>
      <c r="J58" s="1"/>
    </row>
    <row r="59" spans="1:10" ht="16">
      <c r="A59" s="20" t="s">
        <v>76</v>
      </c>
      <c r="B59" s="16"/>
      <c r="C59" s="16"/>
      <c r="D59" s="16"/>
      <c r="E59" s="16"/>
      <c r="F59" s="16"/>
      <c r="G59" s="16"/>
      <c r="H59" s="16"/>
      <c r="I59" s="16"/>
      <c r="J59" s="16"/>
    </row>
    <row r="60" spans="1:10" ht="24" customHeight="1">
      <c r="A60" s="18" t="s">
        <v>77</v>
      </c>
      <c r="B60" s="16"/>
      <c r="C60" s="16"/>
      <c r="D60" s="16"/>
      <c r="E60" s="16"/>
      <c r="F60" s="16"/>
      <c r="G60" s="16"/>
      <c r="H60" s="16"/>
      <c r="I60" s="16"/>
      <c r="J60" s="16"/>
    </row>
    <row r="61" spans="1:10" ht="24" customHeight="1">
      <c r="A61" s="16"/>
      <c r="B61" s="16"/>
      <c r="C61" s="16"/>
      <c r="D61" s="16"/>
      <c r="E61" s="16"/>
      <c r="F61" s="16"/>
      <c r="G61" s="16"/>
      <c r="H61" s="16"/>
      <c r="I61" s="16"/>
      <c r="J61" s="16"/>
    </row>
    <row r="62" spans="1:10" ht="24" customHeight="1">
      <c r="A62" s="16"/>
      <c r="B62" s="16"/>
      <c r="C62" s="16"/>
      <c r="D62" s="16"/>
      <c r="E62" s="16"/>
      <c r="F62" s="16"/>
      <c r="G62" s="16"/>
      <c r="H62" s="16"/>
      <c r="I62" s="16"/>
      <c r="J62" s="16"/>
    </row>
    <row r="63" spans="1:10" ht="24" customHeight="1">
      <c r="A63" s="16"/>
      <c r="B63" s="16"/>
      <c r="C63" s="16"/>
      <c r="D63" s="16"/>
      <c r="E63" s="16"/>
      <c r="F63" s="16"/>
      <c r="G63" s="16"/>
      <c r="H63" s="16"/>
      <c r="I63" s="16"/>
      <c r="J63" s="16"/>
    </row>
    <row r="64" spans="1:10">
      <c r="A64" s="1"/>
      <c r="B64" s="1"/>
      <c r="C64" s="1"/>
      <c r="D64" s="1"/>
      <c r="E64" s="1"/>
      <c r="F64" s="1"/>
      <c r="G64" s="1"/>
      <c r="H64" s="1"/>
      <c r="I64" s="1"/>
      <c r="J64" s="1"/>
    </row>
    <row r="65" spans="1:10" ht="32">
      <c r="A65" s="2" t="s">
        <v>78</v>
      </c>
      <c r="B65" s="2" t="s">
        <v>33</v>
      </c>
      <c r="C65" s="2" t="s">
        <v>79</v>
      </c>
      <c r="D65" s="2" t="s">
        <v>80</v>
      </c>
      <c r="E65" s="2" t="s">
        <v>81</v>
      </c>
      <c r="F65" s="2" t="s">
        <v>82</v>
      </c>
      <c r="G65" s="2" t="s">
        <v>83</v>
      </c>
      <c r="H65" s="1"/>
      <c r="I65" s="1"/>
      <c r="J65" s="1"/>
    </row>
    <row r="66" spans="1:10" ht="16">
      <c r="A66" s="3" t="s">
        <v>84</v>
      </c>
      <c r="B66" s="3">
        <v>20</v>
      </c>
      <c r="C66" s="3">
        <v>-5</v>
      </c>
      <c r="D66" s="3">
        <v>-5</v>
      </c>
      <c r="E66" s="3">
        <v>-15</v>
      </c>
      <c r="F66" s="3" t="s">
        <v>85</v>
      </c>
      <c r="G66" s="3" t="s">
        <v>86</v>
      </c>
      <c r="H66" s="1"/>
      <c r="I66" s="1"/>
      <c r="J66" s="1"/>
    </row>
    <row r="67" spans="1:10" ht="16">
      <c r="A67" s="3" t="s">
        <v>87</v>
      </c>
      <c r="B67" s="3">
        <v>30</v>
      </c>
      <c r="C67" s="3">
        <v>10</v>
      </c>
      <c r="D67" s="3">
        <v>10</v>
      </c>
      <c r="E67" s="3">
        <v>15</v>
      </c>
      <c r="F67" s="3" t="s">
        <v>88</v>
      </c>
      <c r="G67" s="3" t="s">
        <v>89</v>
      </c>
      <c r="H67" s="1"/>
      <c r="I67" s="1"/>
      <c r="J67" s="1"/>
    </row>
    <row r="68" spans="1:10" ht="16">
      <c r="A68" s="3" t="s">
        <v>90</v>
      </c>
      <c r="B68" s="3">
        <v>40</v>
      </c>
      <c r="C68" s="3">
        <v>20</v>
      </c>
      <c r="D68" s="3">
        <v>15</v>
      </c>
      <c r="E68" s="3">
        <v>10</v>
      </c>
      <c r="F68" s="3" t="s">
        <v>91</v>
      </c>
      <c r="G68" s="3" t="s">
        <v>92</v>
      </c>
      <c r="H68" s="1"/>
      <c r="I68" s="1"/>
      <c r="J68" s="1"/>
    </row>
    <row r="69" spans="1:10" ht="48">
      <c r="A69" s="3" t="s">
        <v>93</v>
      </c>
      <c r="B69" s="15"/>
      <c r="C69" s="16"/>
      <c r="D69" s="16"/>
      <c r="E69" s="16"/>
      <c r="F69" s="3" t="s">
        <v>94</v>
      </c>
      <c r="G69" s="7" t="s">
        <v>95</v>
      </c>
      <c r="H69" s="1"/>
      <c r="I69" s="1"/>
      <c r="J69" s="1"/>
    </row>
    <row r="70" spans="1:10">
      <c r="A70" s="1"/>
      <c r="B70" s="1"/>
      <c r="C70" s="1"/>
      <c r="D70" s="1"/>
      <c r="E70" s="1"/>
      <c r="F70" s="1"/>
      <c r="G70" s="1"/>
      <c r="H70" s="1"/>
      <c r="I70" s="1"/>
      <c r="J70" s="1"/>
    </row>
    <row r="71" spans="1:10">
      <c r="A71" s="1"/>
      <c r="B71" s="1"/>
      <c r="C71" s="1"/>
      <c r="D71" s="1"/>
      <c r="E71" s="1"/>
      <c r="F71" s="1"/>
      <c r="G71" s="1"/>
      <c r="H71" s="1"/>
      <c r="I71" s="1"/>
      <c r="J71" s="1"/>
    </row>
    <row r="72" spans="1:10" ht="16">
      <c r="A72" s="2" t="s">
        <v>96</v>
      </c>
      <c r="B72" s="2" t="s">
        <v>53</v>
      </c>
      <c r="C72" s="2" t="s">
        <v>54</v>
      </c>
      <c r="D72" s="2" t="s">
        <v>79</v>
      </c>
      <c r="E72" s="2" t="s">
        <v>80</v>
      </c>
      <c r="F72" s="2" t="s">
        <v>97</v>
      </c>
      <c r="G72" s="2" t="s">
        <v>98</v>
      </c>
      <c r="H72" s="1"/>
      <c r="I72" s="2" t="s">
        <v>99</v>
      </c>
      <c r="J72" s="2" t="s">
        <v>100</v>
      </c>
    </row>
    <row r="73" spans="1:10" ht="16">
      <c r="A73" s="3" t="s">
        <v>57</v>
      </c>
      <c r="B73" s="4"/>
      <c r="C73" s="3" t="s">
        <v>58</v>
      </c>
      <c r="D73" s="3">
        <v>0</v>
      </c>
      <c r="E73" s="3">
        <v>0</v>
      </c>
      <c r="F73" s="3">
        <v>0</v>
      </c>
      <c r="G73" s="6" t="str">
        <f>IF(B73="","",B73*'Scoring Backend'!$B$4)</f>
        <v/>
      </c>
      <c r="H73" s="1"/>
      <c r="I73" s="3" t="s">
        <v>59</v>
      </c>
      <c r="J73" s="6" t="str">
        <f>IF(COUNT(B73:B76)=0,"",MAX(0,B73-J74)*'Scoring Backend'!$C$4+B74*'Scoring Backend'!$C$6+B75*'Scoring Backend'!$C$7+B76*'Scoring Backend'!$C$8)</f>
        <v/>
      </c>
    </row>
    <row r="74" spans="1:10" ht="16">
      <c r="A74" s="3" t="s">
        <v>60</v>
      </c>
      <c r="B74" s="4"/>
      <c r="C74" s="3" t="s">
        <v>61</v>
      </c>
      <c r="D74" s="3">
        <v>5</v>
      </c>
      <c r="E74" s="3">
        <v>5</v>
      </c>
      <c r="F74" s="3">
        <v>8</v>
      </c>
      <c r="G74" s="6" t="str">
        <f>IF(B74="","",B74*'Scoring Backend'!$B$6)</f>
        <v/>
      </c>
      <c r="H74" s="1"/>
      <c r="I74" s="3" t="s">
        <v>62</v>
      </c>
      <c r="J74" s="6" t="str">
        <f>IF(COUNT(B73:B76)=0,"",B74*'Scoring Backend'!$G$4+B75*'Scoring Backend'!$G$5+B76*'Scoring Backend'!$G$6)</f>
        <v/>
      </c>
    </row>
    <row r="75" spans="1:10" ht="16">
      <c r="A75" s="3" t="s">
        <v>63</v>
      </c>
      <c r="B75" s="4"/>
      <c r="C75" s="3" t="s">
        <v>64</v>
      </c>
      <c r="D75" s="3">
        <v>10</v>
      </c>
      <c r="E75" s="3">
        <v>10</v>
      </c>
      <c r="F75" s="3">
        <v>12</v>
      </c>
      <c r="G75" s="6" t="str">
        <f>IF(B75="","",B75*'Scoring Backend'!$B$7)</f>
        <v/>
      </c>
      <c r="H75" s="1"/>
      <c r="I75" s="3" t="s">
        <v>65</v>
      </c>
      <c r="J75" s="6" t="str">
        <f>IF(COUNT(B73:B76)=0,"",IF(B73&gt;=J74,"PASS","FAIL"))</f>
        <v/>
      </c>
    </row>
    <row r="76" spans="1:10" ht="16">
      <c r="A76" s="3" t="s">
        <v>66</v>
      </c>
      <c r="B76" s="4"/>
      <c r="C76" s="3" t="s">
        <v>67</v>
      </c>
      <c r="D76" s="3">
        <v>18</v>
      </c>
      <c r="E76" s="3">
        <v>8</v>
      </c>
      <c r="F76" s="3">
        <v>18</v>
      </c>
      <c r="G76" s="6" t="str">
        <f>IF(B76="","",B76*'Scoring Backend'!$B$8)</f>
        <v/>
      </c>
      <c r="H76" s="1"/>
      <c r="I76" s="3" t="s">
        <v>68</v>
      </c>
      <c r="J76" s="6" t="str">
        <f>IF(COUNT(B73:B76)=0,"",IF(J73&gt;='Scoring Backend'!$B$20,"PASS","FAIL"))</f>
        <v/>
      </c>
    </row>
    <row r="77" spans="1:10" ht="16">
      <c r="A77" s="1"/>
      <c r="B77" s="1"/>
      <c r="C77" s="1"/>
      <c r="D77" s="1"/>
      <c r="E77" s="1"/>
      <c r="F77" s="1"/>
      <c r="G77" s="1"/>
      <c r="H77" s="1"/>
      <c r="I77" s="3" t="s">
        <v>69</v>
      </c>
      <c r="J77" s="6" t="str">
        <f>IF(B69="","",VLOOKUP(B69,'Scoring Backend'!$A$12:$E$14,2,FALSE)+SUM(G73:G76))</f>
        <v/>
      </c>
    </row>
    <row r="78" spans="1:10" ht="16">
      <c r="A78" s="1"/>
      <c r="B78" s="1"/>
      <c r="C78" s="1"/>
      <c r="D78" s="1"/>
      <c r="E78" s="1"/>
      <c r="F78" s="1"/>
      <c r="G78" s="1"/>
      <c r="H78" s="1"/>
      <c r="I78" s="3" t="s">
        <v>79</v>
      </c>
      <c r="J78" s="6" t="str">
        <f>IF(B69="","",MIN(100,'Scoring Backend'!$B$22+VLOOKUP(B69,'Scoring Backend'!$A$12:$E$14,3,FALSE)+SUMPRODUCT($D$73:$D$76,$B$73:$B$76)))</f>
        <v/>
      </c>
    </row>
    <row r="79" spans="1:10" ht="16">
      <c r="A79" s="1"/>
      <c r="B79" s="1"/>
      <c r="C79" s="1"/>
      <c r="D79" s="1"/>
      <c r="E79" s="1"/>
      <c r="F79" s="1"/>
      <c r="G79" s="1"/>
      <c r="H79" s="1"/>
      <c r="I79" s="3" t="s">
        <v>80</v>
      </c>
      <c r="J79" s="6" t="str">
        <f>IF(B69="","",MIN(100,'Scoring Backend'!$B$23+VLOOKUP(B69,'Scoring Backend'!$A$12:$E$14,4,FALSE)+SUMPRODUCT($E$73:$E$76,$B$73:$B$76)))</f>
        <v/>
      </c>
    </row>
    <row r="80" spans="1:10" ht="16">
      <c r="A80" s="1"/>
      <c r="B80" s="1"/>
      <c r="C80" s="1"/>
      <c r="D80" s="1"/>
      <c r="E80" s="1"/>
      <c r="F80" s="1"/>
      <c r="G80" s="1"/>
      <c r="H80" s="1"/>
      <c r="I80" s="3" t="s">
        <v>81</v>
      </c>
      <c r="J80" s="6" t="str">
        <f>IF(B69="","",MIN(100,'Scoring Backend'!$B$24+VLOOKUP(B69,'Scoring Backend'!$A$12:$E$14,5,FALSE)+SUMPRODUCT($F$73:$F$76,$B$73:$B$76)))</f>
        <v/>
      </c>
    </row>
    <row r="81" spans="1:10" ht="16">
      <c r="A81" s="1"/>
      <c r="B81" s="1"/>
      <c r="C81" s="1"/>
      <c r="D81" s="1"/>
      <c r="E81" s="1"/>
      <c r="F81" s="1"/>
      <c r="G81" s="1"/>
      <c r="H81" s="1"/>
      <c r="I81" s="3" t="s">
        <v>85</v>
      </c>
      <c r="J81" s="6" t="str">
        <f>IF(B69="","",SUMPRODUCT(J78:J80,'Scoring Backend'!$I$18:$I$20))</f>
        <v/>
      </c>
    </row>
    <row r="82" spans="1:10" ht="16">
      <c r="A82" s="1"/>
      <c r="B82" s="1"/>
      <c r="C82" s="1"/>
      <c r="D82" s="1"/>
      <c r="E82" s="1"/>
      <c r="F82" s="1"/>
      <c r="G82" s="1"/>
      <c r="H82" s="1"/>
      <c r="I82" s="3" t="s">
        <v>101</v>
      </c>
      <c r="J82" s="6" t="str">
        <f>IF(B69="","",MAX(0,J77-'Scoring Backend'!$G$18))</f>
        <v/>
      </c>
    </row>
    <row r="83" spans="1:10" ht="16">
      <c r="A83" s="1"/>
      <c r="B83" s="1"/>
      <c r="C83" s="1"/>
      <c r="D83" s="1"/>
      <c r="E83" s="1"/>
      <c r="F83" s="1"/>
      <c r="G83" s="1"/>
      <c r="H83" s="1"/>
      <c r="I83" s="3" t="s">
        <v>91</v>
      </c>
      <c r="J83" s="6" t="str">
        <f>IF(B69="","",MAX(0,'Scoring Backend'!$G$19-J79))</f>
        <v/>
      </c>
    </row>
    <row r="84" spans="1:10" ht="16">
      <c r="A84" s="1"/>
      <c r="B84" s="1"/>
      <c r="C84" s="1"/>
      <c r="D84" s="1"/>
      <c r="E84" s="1"/>
      <c r="F84" s="1"/>
      <c r="G84" s="1"/>
      <c r="H84" s="1"/>
      <c r="I84" s="3" t="s">
        <v>102</v>
      </c>
      <c r="J84" s="6" t="str">
        <f>IF(B69="","",J81-J82-J83)</f>
        <v/>
      </c>
    </row>
    <row r="85" spans="1:10">
      <c r="A85" s="1"/>
      <c r="B85" s="1"/>
      <c r="C85" s="1"/>
      <c r="D85" s="1"/>
      <c r="E85" s="1"/>
      <c r="F85" s="1"/>
      <c r="G85" s="1"/>
      <c r="H85" s="1"/>
      <c r="I85" s="1"/>
      <c r="J85" s="1"/>
    </row>
    <row r="86" spans="1:10">
      <c r="A86" s="1"/>
      <c r="B86" s="1"/>
      <c r="C86" s="1"/>
      <c r="D86" s="1"/>
      <c r="E86" s="1"/>
      <c r="F86" s="1"/>
      <c r="G86" s="1"/>
      <c r="H86" s="1"/>
      <c r="I86" s="1"/>
      <c r="J86" s="1"/>
    </row>
    <row r="87" spans="1:10" ht="16">
      <c r="A87" s="1"/>
      <c r="B87" s="1"/>
      <c r="C87" s="1"/>
      <c r="D87" s="1"/>
      <c r="E87" s="1"/>
      <c r="F87" s="1"/>
      <c r="G87" s="1"/>
      <c r="H87" s="1"/>
      <c r="I87" s="2" t="s">
        <v>103</v>
      </c>
      <c r="J87" s="2" t="s">
        <v>104</v>
      </c>
    </row>
    <row r="88" spans="1:10" ht="16">
      <c r="A88" s="1"/>
      <c r="B88" s="1"/>
      <c r="C88" s="1"/>
      <c r="D88" s="1"/>
      <c r="E88" s="1"/>
      <c r="F88" s="1"/>
      <c r="G88" s="1"/>
      <c r="H88" s="1"/>
      <c r="I88" s="3" t="s">
        <v>105</v>
      </c>
      <c r="J88" s="6" t="str">
        <f>IF(J77="","",IF(J77&lt;='Scoring Backend'!$G$18,"PASS","PENALTY"))</f>
        <v/>
      </c>
    </row>
    <row r="89" spans="1:10" ht="16">
      <c r="A89" s="1"/>
      <c r="B89" s="1"/>
      <c r="C89" s="1"/>
      <c r="D89" s="1"/>
      <c r="E89" s="1"/>
      <c r="F89" s="1"/>
      <c r="G89" s="1"/>
      <c r="H89" s="1"/>
      <c r="I89" s="3" t="s">
        <v>106</v>
      </c>
      <c r="J89" s="6" t="str">
        <f>IF(J79="","",IF(J79&gt;='Scoring Backend'!$G$19,"PASS","PENALTY"))</f>
        <v/>
      </c>
    </row>
    <row r="90" spans="1:10" ht="16">
      <c r="A90" s="1"/>
      <c r="B90" s="1"/>
      <c r="C90" s="1"/>
      <c r="D90" s="1"/>
      <c r="E90" s="1"/>
      <c r="F90" s="1"/>
      <c r="G90" s="1"/>
      <c r="H90" s="1"/>
      <c r="I90" s="3" t="s">
        <v>107</v>
      </c>
      <c r="J90" s="6" t="str">
        <f>IF(J75="","",J75)</f>
        <v/>
      </c>
    </row>
    <row r="91" spans="1:10" ht="16">
      <c r="A91" s="1"/>
      <c r="B91" s="1"/>
      <c r="C91" s="1"/>
      <c r="D91" s="1"/>
      <c r="E91" s="1"/>
      <c r="F91" s="1"/>
      <c r="G91" s="1"/>
      <c r="H91" s="1"/>
      <c r="I91" s="3" t="s">
        <v>108</v>
      </c>
      <c r="J91" s="6" t="str">
        <f>IF(J76="","",J76)</f>
        <v/>
      </c>
    </row>
    <row r="92" spans="1:10" ht="16">
      <c r="A92" s="1"/>
      <c r="B92" s="1"/>
      <c r="C92" s="1"/>
      <c r="D92" s="1"/>
      <c r="E92" s="1"/>
      <c r="F92" s="1"/>
      <c r="G92" s="1"/>
      <c r="H92" s="1"/>
      <c r="I92" s="8" t="s">
        <v>109</v>
      </c>
      <c r="J92" s="9" t="str">
        <f>IF(OR(B69="",COUNT(B73:B76)=0,J73="",J73=0),"",IF(B69="Human-Led",IF(((B74*'Scoring Backend'!$C$6+B75*'Scoring Backend'!$C$7+B76*'Scoring Backend'!$C$8)/J73)&lt;='Scoring Backend'!$G$22,"PASS","MISMATCH"),IF(B69="Collaborative",IF(AND(((B74*'Scoring Backend'!$C$6+B75*'Scoring Backend'!$C$7+B76*'Scoring Backend'!$C$8)/J73)&gt;='Scoring Backend'!$G$23,((B74*'Scoring Backend'!$C$6+B75*'Scoring Backend'!$C$7+B76*'Scoring Backend'!$C$8)/J73)&lt;='Scoring Backend'!$G$24),"PASS","MISMATCH"),IF(B69="Robot-Led",IF(((B74*'Scoring Backend'!$C$6+B75*'Scoring Backend'!$C$7+B76*'Scoring Backend'!$C$8)/J73)&gt;='Scoring Backend'!$G$25,"PASS","MISMATCH"),""))))</f>
        <v/>
      </c>
    </row>
    <row r="93" spans="1:10">
      <c r="A93" s="1"/>
      <c r="B93" s="1"/>
      <c r="C93" s="1"/>
      <c r="D93" s="1"/>
      <c r="E93" s="1"/>
      <c r="F93" s="1"/>
      <c r="G93" s="1"/>
      <c r="H93" s="1"/>
      <c r="I93" s="1"/>
      <c r="J93" s="1"/>
    </row>
    <row r="94" spans="1:10" ht="16">
      <c r="A94" s="20" t="s">
        <v>110</v>
      </c>
      <c r="B94" s="16"/>
      <c r="C94" s="16"/>
      <c r="D94" s="16"/>
      <c r="E94" s="16"/>
      <c r="F94" s="16"/>
      <c r="G94" s="16"/>
      <c r="H94" s="16"/>
      <c r="I94" s="16"/>
      <c r="J94" s="16"/>
    </row>
    <row r="95" spans="1:10" ht="16">
      <c r="A95" s="2" t="s">
        <v>111</v>
      </c>
      <c r="B95" s="2" t="s">
        <v>112</v>
      </c>
      <c r="C95" s="1"/>
      <c r="D95" s="1"/>
      <c r="E95" s="1"/>
      <c r="F95" s="1"/>
      <c r="G95" s="1"/>
      <c r="H95" s="1"/>
      <c r="I95" s="1"/>
      <c r="J95" s="1"/>
    </row>
    <row r="96" spans="1:10" ht="32">
      <c r="A96" s="3" t="s">
        <v>113</v>
      </c>
      <c r="B96" s="3" t="s">
        <v>75</v>
      </c>
      <c r="C96" s="1"/>
      <c r="D96" s="1"/>
      <c r="E96" s="1"/>
      <c r="F96" s="1"/>
      <c r="G96" s="1"/>
      <c r="H96" s="1"/>
      <c r="I96" s="1"/>
      <c r="J96" s="1"/>
    </row>
    <row r="97" spans="1:10" ht="32">
      <c r="A97" s="3" t="s">
        <v>114</v>
      </c>
      <c r="B97" s="3" t="s">
        <v>115</v>
      </c>
      <c r="C97" s="1"/>
      <c r="D97" s="1"/>
      <c r="E97" s="1"/>
      <c r="F97" s="1"/>
      <c r="G97" s="1"/>
      <c r="H97" s="1"/>
      <c r="I97" s="1"/>
      <c r="J97" s="1"/>
    </row>
    <row r="98" spans="1:10" ht="32">
      <c r="A98" s="3" t="s">
        <v>116</v>
      </c>
      <c r="B98" s="3" t="s">
        <v>117</v>
      </c>
      <c r="C98" s="1"/>
      <c r="D98" s="1"/>
      <c r="E98" s="1"/>
      <c r="F98" s="1"/>
      <c r="G98" s="1"/>
      <c r="H98" s="1"/>
      <c r="I98" s="1"/>
      <c r="J98" s="1"/>
    </row>
    <row r="99" spans="1:10">
      <c r="A99" s="1"/>
      <c r="B99" s="1"/>
      <c r="C99" s="1"/>
      <c r="D99" s="1"/>
      <c r="E99" s="1"/>
      <c r="F99" s="1"/>
      <c r="G99" s="1"/>
      <c r="H99" s="1"/>
      <c r="I99" s="1"/>
      <c r="J99" s="1"/>
    </row>
    <row r="100" spans="1:10">
      <c r="A100" s="1"/>
      <c r="B100" s="1"/>
      <c r="C100" s="1"/>
      <c r="D100" s="1"/>
      <c r="E100" s="1"/>
      <c r="F100" s="1"/>
      <c r="G100" s="1"/>
      <c r="H100" s="1"/>
      <c r="I100" s="1"/>
      <c r="J100" s="1"/>
    </row>
    <row r="101" spans="1:10" ht="16">
      <c r="A101" s="20" t="s">
        <v>118</v>
      </c>
      <c r="B101" s="16"/>
      <c r="C101" s="16"/>
      <c r="D101" s="16"/>
      <c r="E101" s="16"/>
      <c r="F101" s="16"/>
      <c r="G101" s="16"/>
      <c r="H101" s="16"/>
      <c r="I101" s="16"/>
      <c r="J101" s="16"/>
    </row>
    <row r="102" spans="1:10" ht="16">
      <c r="A102" s="2" t="s">
        <v>119</v>
      </c>
      <c r="B102" s="2" t="s">
        <v>120</v>
      </c>
      <c r="C102" s="1"/>
      <c r="D102" s="1"/>
      <c r="E102" s="1"/>
      <c r="F102" s="1"/>
      <c r="G102" s="1"/>
      <c r="H102" s="1"/>
      <c r="I102" s="1"/>
      <c r="J102" s="1"/>
    </row>
    <row r="103" spans="1:10" ht="32">
      <c r="A103" s="3" t="s">
        <v>121</v>
      </c>
      <c r="B103" s="4"/>
      <c r="C103" s="1"/>
      <c r="D103" s="1"/>
      <c r="E103" s="1"/>
      <c r="F103" s="1"/>
      <c r="G103" s="1"/>
      <c r="H103" s="1"/>
      <c r="I103" s="1"/>
      <c r="J103" s="1"/>
    </row>
    <row r="104" spans="1:10" ht="16">
      <c r="A104" s="3" t="s">
        <v>122</v>
      </c>
      <c r="B104" s="4"/>
      <c r="C104" s="1"/>
      <c r="D104" s="1"/>
      <c r="E104" s="1"/>
      <c r="F104" s="1"/>
      <c r="G104" s="1"/>
      <c r="H104" s="1"/>
      <c r="I104" s="1"/>
      <c r="J104" s="1"/>
    </row>
    <row r="105" spans="1:10" ht="32">
      <c r="A105" s="3" t="s">
        <v>123</v>
      </c>
      <c r="B105" s="4"/>
      <c r="C105" s="1"/>
      <c r="D105" s="1"/>
      <c r="E105" s="1"/>
      <c r="F105" s="1"/>
      <c r="G105" s="1"/>
      <c r="H105" s="1"/>
      <c r="I105" s="1"/>
      <c r="J105" s="1"/>
    </row>
    <row r="106" spans="1:10" ht="42" customHeight="1">
      <c r="A106" s="3" t="s">
        <v>124</v>
      </c>
      <c r="B106" s="4"/>
      <c r="C106" s="1"/>
      <c r="D106" s="1"/>
      <c r="E106" s="1"/>
      <c r="F106" s="1"/>
      <c r="G106" s="1"/>
      <c r="H106" s="1"/>
      <c r="I106" s="1"/>
      <c r="J106" s="1"/>
    </row>
    <row r="107" spans="1:10">
      <c r="A107" s="1"/>
      <c r="B107" s="1"/>
      <c r="C107" s="1"/>
      <c r="D107" s="1"/>
      <c r="E107" s="1"/>
      <c r="F107" s="1"/>
      <c r="G107" s="1"/>
      <c r="H107" s="1"/>
      <c r="I107" s="1"/>
      <c r="J107" s="1"/>
    </row>
    <row r="108" spans="1:10">
      <c r="A108" s="1"/>
      <c r="B108" s="1"/>
      <c r="C108" s="1"/>
      <c r="D108" s="1"/>
      <c r="E108" s="1"/>
      <c r="F108" s="1"/>
      <c r="G108" s="1"/>
      <c r="H108" s="1"/>
      <c r="I108" s="1"/>
      <c r="J108" s="1"/>
    </row>
    <row r="109" spans="1:10">
      <c r="A109" s="22" t="s">
        <v>125</v>
      </c>
      <c r="B109" s="16"/>
      <c r="C109" s="16"/>
      <c r="D109" s="16"/>
      <c r="E109" s="16"/>
      <c r="F109" s="16"/>
      <c r="G109" s="16"/>
      <c r="H109" s="16"/>
      <c r="I109" s="16"/>
      <c r="J109" s="16"/>
    </row>
    <row r="110" spans="1:10">
      <c r="A110" s="16"/>
      <c r="B110" s="16"/>
      <c r="C110" s="16"/>
      <c r="D110" s="16"/>
      <c r="E110" s="16"/>
      <c r="F110" s="16"/>
      <c r="G110" s="16"/>
      <c r="H110" s="16"/>
      <c r="I110" s="16"/>
      <c r="J110" s="16"/>
    </row>
  </sheetData>
  <mergeCells count="19">
    <mergeCell ref="A1:J1"/>
    <mergeCell ref="A94:J94"/>
    <mergeCell ref="A109:J110"/>
    <mergeCell ref="B55:C55"/>
    <mergeCell ref="B69:E69"/>
    <mergeCell ref="A101:J101"/>
    <mergeCell ref="A2:J2"/>
    <mergeCell ref="B54:C54"/>
    <mergeCell ref="A4:J4"/>
    <mergeCell ref="A60:J63"/>
    <mergeCell ref="A41:J42"/>
    <mergeCell ref="A40:J40"/>
    <mergeCell ref="A30:J30"/>
    <mergeCell ref="A12:J15"/>
    <mergeCell ref="A17:F17"/>
    <mergeCell ref="A59:J59"/>
    <mergeCell ref="A24:J24"/>
    <mergeCell ref="B53:C53"/>
    <mergeCell ref="A11:J11"/>
  </mergeCells>
  <conditionalFormatting sqref="G47:G48">
    <cfRule type="containsText" dxfId="44" priority="1" operator="containsText" text="PASS"/>
    <cfRule type="containsText" dxfId="43" priority="2" operator="containsText" text="FAIL"/>
    <cfRule type="containsText" dxfId="42" priority="3" operator="containsText" text="OK"/>
    <cfRule type="containsText" dxfId="41" priority="4" operator="containsText" text="PENALTY"/>
    <cfRule type="containsText" dxfId="40" priority="6" operator="containsText" text="YES"/>
    <cfRule type="containsText" dxfId="39" priority="7" operator="containsText" text="NO"/>
  </conditionalFormatting>
  <conditionalFormatting sqref="J75:J76">
    <cfRule type="containsText" dxfId="38" priority="8" operator="containsText" text="PASS"/>
    <cfRule type="containsText" dxfId="37" priority="9" operator="containsText" text="FAIL"/>
    <cfRule type="containsText" dxfId="36" priority="10" operator="containsText" text="OK"/>
    <cfRule type="containsText" dxfId="35" priority="11" operator="containsText" text="PENALTY"/>
    <cfRule type="containsText" dxfId="34" priority="13" operator="containsText" text="YES"/>
    <cfRule type="containsText" dxfId="33" priority="14" operator="containsText" text="NO"/>
  </conditionalFormatting>
  <conditionalFormatting sqref="J88:J91">
    <cfRule type="containsText" dxfId="32" priority="15" operator="containsText" text="PASS"/>
    <cfRule type="containsText" dxfId="31" priority="16" operator="containsText" text="FAIL"/>
    <cfRule type="containsText" dxfId="30" priority="17" operator="containsText" text="OK"/>
    <cfRule type="containsText" dxfId="29" priority="18" operator="containsText" text="PENALTY"/>
    <cfRule type="containsText" dxfId="28" priority="20" operator="containsText" text="YES"/>
    <cfRule type="containsText" dxfId="27" priority="21" operator="containsText" text="NO"/>
  </conditionalFormatting>
  <conditionalFormatting sqref="J92">
    <cfRule type="cellIs" dxfId="26" priority="22" operator="equal">
      <formula>"PASS"</formula>
    </cfRule>
    <cfRule type="cellIs" dxfId="25" priority="23" operator="equal">
      <formula>"MISMATCH"</formula>
    </cfRule>
  </conditionalFormatting>
  <dataValidations count="5">
    <dataValidation type="whole" sqref="B45:B48 B73:B76" xr:uid="{00000000-0002-0000-0000-000000000000}">
      <formula1>0</formula1>
      <formula2>20</formula2>
    </dataValidation>
    <dataValidation type="list" sqref="B69" xr:uid="{00000000-0002-0000-0000-000001000000}">
      <formula1>"Human-Led,Collaborative,Robot-Led"</formula1>
    </dataValidation>
    <dataValidation type="list" sqref="B103" xr:uid="{00000000-0002-0000-0000-000003000000}">
      <formula1>"Architecture Lead,Robot Engineer,Cost Manager"</formula1>
    </dataValidation>
    <dataValidation type="list" sqref="B104" xr:uid="{00000000-0002-0000-0000-000004000000}">
      <formula1>"Cost vs Productivity,Cost vs Safety,Cost vs Manual Effort Reduction,Productivity vs Safety,Productivity vs Manual Effort Reduction,Safety vs Manual Effort Reduction"</formula1>
    </dataValidation>
    <dataValidation type="list" sqref="B105" xr:uid="{00000000-0002-0000-0000-000005000000}">
      <formula1>"More Robots,Fewer Robots,Improved Productivity,Improved Safety,Improved Manual Effort Reduction,Lower Cost,No Major Change"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showGridLines="0" workbookViewId="0"/>
  </sheetViews>
  <sheetFormatPr baseColWidth="10" defaultColWidth="8.83203125" defaultRowHeight="15"/>
  <cols>
    <col min="1" max="1" width="31" customWidth="1"/>
    <col min="2" max="3" width="18" customWidth="1"/>
    <col min="4" max="4" width="52" customWidth="1"/>
    <col min="5" max="5" width="20" customWidth="1"/>
    <col min="6" max="6" width="28" customWidth="1"/>
    <col min="7" max="7" width="13" customWidth="1"/>
    <col min="8" max="8" width="24" customWidth="1"/>
    <col min="9" max="9" width="11" customWidth="1"/>
    <col min="10" max="10" width="32" customWidth="1"/>
  </cols>
  <sheetData>
    <row r="1" spans="1:10" ht="19">
      <c r="A1" s="25" t="s">
        <v>126</v>
      </c>
      <c r="B1" s="16"/>
      <c r="C1" s="16"/>
      <c r="D1" s="16"/>
      <c r="E1" s="16"/>
      <c r="F1" s="16"/>
      <c r="G1" s="16"/>
      <c r="H1" s="16"/>
      <c r="I1" s="16"/>
      <c r="J1" s="16"/>
    </row>
    <row r="2" spans="1:10">
      <c r="A2" s="1"/>
      <c r="B2" s="1"/>
      <c r="C2" s="1"/>
      <c r="D2" s="1"/>
      <c r="E2" s="1"/>
      <c r="F2" s="1"/>
      <c r="G2" s="1"/>
      <c r="H2" s="1"/>
      <c r="I2" s="1"/>
      <c r="J2" s="1"/>
    </row>
    <row r="3" spans="1:10" ht="16">
      <c r="A3" s="2" t="s">
        <v>127</v>
      </c>
      <c r="B3" s="2" t="s">
        <v>33</v>
      </c>
      <c r="C3" s="2" t="s">
        <v>128</v>
      </c>
      <c r="D3" s="2" t="s">
        <v>129</v>
      </c>
      <c r="E3" s="1"/>
      <c r="F3" s="2" t="s">
        <v>130</v>
      </c>
      <c r="G3" s="2" t="s">
        <v>12</v>
      </c>
      <c r="H3" s="2" t="s">
        <v>131</v>
      </c>
      <c r="I3" s="1"/>
      <c r="J3" s="1"/>
    </row>
    <row r="4" spans="1:10" ht="80">
      <c r="A4" s="3" t="s">
        <v>36</v>
      </c>
      <c r="B4" s="4">
        <v>10</v>
      </c>
      <c r="C4" s="4">
        <v>1</v>
      </c>
      <c r="D4" s="3" t="s">
        <v>132</v>
      </c>
      <c r="E4" s="1"/>
      <c r="F4" s="3" t="s">
        <v>133</v>
      </c>
      <c r="G4" s="4">
        <v>0.5</v>
      </c>
      <c r="H4" s="3" t="s">
        <v>134</v>
      </c>
      <c r="I4" s="1"/>
      <c r="J4" s="1"/>
    </row>
    <row r="5" spans="1:10" ht="48">
      <c r="A5" s="3"/>
      <c r="B5" s="4"/>
      <c r="C5" s="4"/>
      <c r="D5" s="3"/>
      <c r="E5" s="1"/>
      <c r="F5" s="3" t="s">
        <v>135</v>
      </c>
      <c r="G5" s="4">
        <v>1</v>
      </c>
      <c r="H5" s="3" t="s">
        <v>136</v>
      </c>
      <c r="I5" s="1"/>
      <c r="J5" s="1"/>
    </row>
    <row r="6" spans="1:10" ht="32">
      <c r="A6" s="3" t="s">
        <v>41</v>
      </c>
      <c r="B6" s="4">
        <v>20</v>
      </c>
      <c r="C6" s="4">
        <v>3</v>
      </c>
      <c r="D6" s="3" t="s">
        <v>137</v>
      </c>
      <c r="E6" s="1"/>
      <c r="F6" s="3" t="s">
        <v>138</v>
      </c>
      <c r="G6" s="4">
        <v>3</v>
      </c>
      <c r="H6" s="3" t="s">
        <v>139</v>
      </c>
      <c r="I6" s="1"/>
      <c r="J6" s="1"/>
    </row>
    <row r="7" spans="1:10" ht="16">
      <c r="A7" s="3" t="s">
        <v>44</v>
      </c>
      <c r="B7" s="4">
        <v>35</v>
      </c>
      <c r="C7" s="4">
        <v>5</v>
      </c>
      <c r="D7" s="3" t="s">
        <v>137</v>
      </c>
      <c r="E7" s="1"/>
      <c r="F7" s="3"/>
      <c r="G7" s="4"/>
      <c r="H7" s="3"/>
      <c r="I7" s="1"/>
      <c r="J7" s="1"/>
    </row>
    <row r="8" spans="1:10" ht="16">
      <c r="A8" s="3" t="s">
        <v>47</v>
      </c>
      <c r="B8" s="4">
        <v>60</v>
      </c>
      <c r="C8" s="4">
        <v>8</v>
      </c>
      <c r="D8" s="3" t="s">
        <v>140</v>
      </c>
      <c r="E8" s="1"/>
      <c r="F8" s="1"/>
      <c r="G8" s="1"/>
      <c r="H8" s="1"/>
      <c r="I8" s="1"/>
      <c r="J8" s="1"/>
    </row>
    <row r="9" spans="1:10">
      <c r="A9" s="1"/>
      <c r="B9" s="1"/>
      <c r="C9" s="1"/>
      <c r="D9" s="1"/>
      <c r="E9" s="1"/>
      <c r="F9" s="1"/>
      <c r="G9" s="1"/>
      <c r="H9" s="1"/>
      <c r="I9" s="1"/>
      <c r="J9" s="1"/>
    </row>
    <row r="10" spans="1:10">
      <c r="A10" s="1"/>
      <c r="B10" s="1"/>
      <c r="C10" s="1"/>
      <c r="D10" s="1"/>
      <c r="E10" s="1"/>
      <c r="F10" s="1"/>
      <c r="G10" s="1"/>
      <c r="H10" s="1"/>
      <c r="I10" s="1"/>
      <c r="J10" s="1"/>
    </row>
    <row r="11" spans="1:10" ht="38" customHeight="1">
      <c r="A11" s="2" t="s">
        <v>141</v>
      </c>
      <c r="B11" s="2" t="s">
        <v>33</v>
      </c>
      <c r="C11" s="2" t="s">
        <v>142</v>
      </c>
      <c r="D11" s="2" t="s">
        <v>143</v>
      </c>
      <c r="E11" s="2" t="s">
        <v>144</v>
      </c>
      <c r="F11" s="2" t="s">
        <v>145</v>
      </c>
      <c r="G11" s="2" t="s">
        <v>146</v>
      </c>
      <c r="H11" s="2" t="s">
        <v>142</v>
      </c>
      <c r="I11" s="2" t="s">
        <v>143</v>
      </c>
      <c r="J11" s="2" t="s">
        <v>144</v>
      </c>
    </row>
    <row r="12" spans="1:10" ht="16">
      <c r="A12" s="3" t="s">
        <v>84</v>
      </c>
      <c r="B12" s="4">
        <v>20</v>
      </c>
      <c r="C12" s="4">
        <v>-5</v>
      </c>
      <c r="D12" s="4">
        <v>-5</v>
      </c>
      <c r="E12" s="4">
        <v>-15</v>
      </c>
      <c r="F12" s="3" t="s">
        <v>41</v>
      </c>
      <c r="G12" s="4">
        <v>20</v>
      </c>
      <c r="H12" s="4">
        <v>5</v>
      </c>
      <c r="I12" s="4">
        <v>5</v>
      </c>
      <c r="J12" s="4">
        <v>8</v>
      </c>
    </row>
    <row r="13" spans="1:10" ht="16">
      <c r="A13" s="3" t="s">
        <v>87</v>
      </c>
      <c r="B13" s="4">
        <v>30</v>
      </c>
      <c r="C13" s="4">
        <v>10</v>
      </c>
      <c r="D13" s="4">
        <v>10</v>
      </c>
      <c r="E13" s="4">
        <v>15</v>
      </c>
      <c r="F13" s="3" t="s">
        <v>44</v>
      </c>
      <c r="G13" s="4">
        <v>35</v>
      </c>
      <c r="H13" s="4">
        <v>10</v>
      </c>
      <c r="I13" s="4">
        <v>10</v>
      </c>
      <c r="J13" s="4">
        <v>12</v>
      </c>
    </row>
    <row r="14" spans="1:10" ht="16">
      <c r="A14" s="3" t="s">
        <v>90</v>
      </c>
      <c r="B14" s="4">
        <v>40</v>
      </c>
      <c r="C14" s="4">
        <v>20</v>
      </c>
      <c r="D14" s="4">
        <v>15</v>
      </c>
      <c r="E14" s="4">
        <v>10</v>
      </c>
      <c r="F14" s="3" t="s">
        <v>47</v>
      </c>
      <c r="G14" s="4">
        <v>60</v>
      </c>
      <c r="H14" s="4">
        <v>18</v>
      </c>
      <c r="I14" s="4">
        <v>8</v>
      </c>
      <c r="J14" s="4">
        <v>18</v>
      </c>
    </row>
    <row r="15" spans="1:10">
      <c r="A15" s="1"/>
      <c r="B15" s="1"/>
      <c r="C15" s="1"/>
      <c r="D15" s="1"/>
      <c r="E15" s="1"/>
      <c r="F15" s="1"/>
      <c r="G15" s="5"/>
      <c r="H15" s="5"/>
      <c r="I15" s="5"/>
      <c r="J15" s="5"/>
    </row>
    <row r="16" spans="1:10">
      <c r="A16" s="1"/>
      <c r="B16" s="1"/>
      <c r="C16" s="1"/>
      <c r="D16" s="1"/>
      <c r="E16" s="1"/>
      <c r="F16" s="1"/>
      <c r="G16" s="1"/>
      <c r="H16" s="1"/>
      <c r="I16" s="1"/>
      <c r="J16" s="1"/>
    </row>
    <row r="17" spans="1:10" ht="28" customHeight="1">
      <c r="A17" s="2" t="s">
        <v>147</v>
      </c>
      <c r="B17" s="2" t="s">
        <v>12</v>
      </c>
      <c r="C17" s="1"/>
      <c r="D17" s="1"/>
      <c r="E17" s="1"/>
      <c r="F17" s="2" t="s">
        <v>148</v>
      </c>
      <c r="G17" s="2" t="s">
        <v>12</v>
      </c>
      <c r="H17" s="2" t="s">
        <v>149</v>
      </c>
      <c r="I17" s="2" t="s">
        <v>150</v>
      </c>
      <c r="J17" s="2" t="s">
        <v>151</v>
      </c>
    </row>
    <row r="18" spans="1:10" ht="34" customHeight="1">
      <c r="A18" s="3" t="s">
        <v>152</v>
      </c>
      <c r="B18" s="4">
        <v>5</v>
      </c>
      <c r="C18" s="1"/>
      <c r="D18" s="1"/>
      <c r="E18" s="1"/>
      <c r="F18" s="3" t="s">
        <v>19</v>
      </c>
      <c r="G18" s="4">
        <v>200</v>
      </c>
      <c r="H18" s="3" t="s">
        <v>79</v>
      </c>
      <c r="I18" s="4">
        <v>0.3</v>
      </c>
      <c r="J18" s="3" t="s">
        <v>153</v>
      </c>
    </row>
    <row r="19" spans="1:10" ht="34" customHeight="1">
      <c r="A19" s="3" t="s">
        <v>154</v>
      </c>
      <c r="B19" s="4">
        <v>100</v>
      </c>
      <c r="C19" s="1"/>
      <c r="D19" s="1"/>
      <c r="E19" s="1"/>
      <c r="F19" s="3" t="s">
        <v>155</v>
      </c>
      <c r="G19" s="14">
        <v>70</v>
      </c>
      <c r="H19" s="3" t="s">
        <v>80</v>
      </c>
      <c r="I19" s="4">
        <v>0.4</v>
      </c>
      <c r="J19" s="3" t="s">
        <v>156</v>
      </c>
    </row>
    <row r="20" spans="1:10" ht="34" customHeight="1">
      <c r="A20" s="3" t="s">
        <v>157</v>
      </c>
      <c r="B20" s="4">
        <v>20</v>
      </c>
      <c r="C20" s="1"/>
      <c r="D20" s="1"/>
      <c r="E20" s="1"/>
      <c r="F20" s="1"/>
      <c r="G20" s="1"/>
      <c r="H20" s="3" t="s">
        <v>81</v>
      </c>
      <c r="I20" s="4">
        <v>0.3</v>
      </c>
      <c r="J20" s="3" t="s">
        <v>158</v>
      </c>
    </row>
    <row r="21" spans="1:10" ht="16">
      <c r="A21" s="3" t="s">
        <v>159</v>
      </c>
      <c r="B21" s="4">
        <v>200</v>
      </c>
      <c r="C21" s="1"/>
      <c r="D21" s="1"/>
      <c r="E21" s="1"/>
      <c r="F21" s="1"/>
      <c r="G21" s="1"/>
      <c r="H21" s="1"/>
      <c r="I21" s="1"/>
      <c r="J21" s="1"/>
    </row>
    <row r="22" spans="1:10" ht="32">
      <c r="A22" s="3" t="s">
        <v>160</v>
      </c>
      <c r="B22" s="4">
        <v>50</v>
      </c>
      <c r="C22" s="1"/>
      <c r="D22" s="1"/>
      <c r="E22" s="1"/>
      <c r="F22" s="10" t="s">
        <v>161</v>
      </c>
      <c r="G22" s="11">
        <v>0.35</v>
      </c>
      <c r="H22" s="1"/>
      <c r="I22" s="1"/>
      <c r="J22" s="1"/>
    </row>
    <row r="23" spans="1:10" ht="32">
      <c r="A23" s="3" t="s">
        <v>162</v>
      </c>
      <c r="B23" s="4">
        <v>50</v>
      </c>
      <c r="C23" s="1"/>
      <c r="D23" s="1"/>
      <c r="E23" s="1"/>
      <c r="F23" s="10" t="s">
        <v>163</v>
      </c>
      <c r="G23" s="11">
        <v>0.35</v>
      </c>
      <c r="H23" s="1"/>
      <c r="I23" s="1"/>
      <c r="J23" s="1"/>
    </row>
    <row r="24" spans="1:10" ht="32">
      <c r="A24" s="3" t="s">
        <v>164</v>
      </c>
      <c r="B24" s="4">
        <v>50</v>
      </c>
      <c r="C24" s="1"/>
      <c r="D24" s="1"/>
      <c r="E24" s="1"/>
      <c r="F24" s="10" t="s">
        <v>165</v>
      </c>
      <c r="G24" s="11">
        <v>0.75</v>
      </c>
      <c r="H24" s="1"/>
      <c r="I24" s="1"/>
      <c r="J24" s="1"/>
    </row>
    <row r="25" spans="1:10" ht="32">
      <c r="A25" s="1"/>
      <c r="B25" s="1"/>
      <c r="C25" s="1"/>
      <c r="D25" s="1"/>
      <c r="E25" s="1"/>
      <c r="F25" s="10" t="s">
        <v>166</v>
      </c>
      <c r="G25" s="11">
        <v>0.75</v>
      </c>
      <c r="H25" s="1"/>
      <c r="I25" s="1"/>
      <c r="J25" s="1"/>
    </row>
    <row r="26" spans="1:10">
      <c r="A26" s="1"/>
      <c r="B26" s="1"/>
      <c r="C26" s="1"/>
      <c r="D26" s="1"/>
      <c r="E26" s="1"/>
      <c r="F26" s="1"/>
      <c r="G26" s="1"/>
      <c r="H26" s="1"/>
      <c r="I26" s="1"/>
      <c r="J26" s="1"/>
    </row>
    <row r="27" spans="1:10">
      <c r="A27" s="24" t="s">
        <v>167</v>
      </c>
      <c r="B27" s="16"/>
      <c r="C27" s="16"/>
      <c r="D27" s="16"/>
      <c r="E27" s="16"/>
      <c r="F27" s="16"/>
      <c r="G27" s="16"/>
      <c r="H27" s="16"/>
      <c r="I27" s="16"/>
      <c r="J27" s="16"/>
    </row>
    <row r="28" spans="1:10" ht="24" customHeight="1">
      <c r="A28" s="18" t="s">
        <v>168</v>
      </c>
      <c r="B28" s="16"/>
      <c r="C28" s="16"/>
      <c r="D28" s="16"/>
      <c r="E28" s="16"/>
      <c r="F28" s="16"/>
      <c r="G28" s="16"/>
      <c r="H28" s="16"/>
      <c r="I28" s="16"/>
      <c r="J28" s="16"/>
    </row>
    <row r="29" spans="1:10" ht="24" customHeight="1">
      <c r="A29" s="16"/>
      <c r="B29" s="16"/>
      <c r="C29" s="16"/>
      <c r="D29" s="16"/>
      <c r="E29" s="16"/>
      <c r="F29" s="16"/>
      <c r="G29" s="16"/>
      <c r="H29" s="16"/>
      <c r="I29" s="16"/>
      <c r="J29" s="16"/>
    </row>
    <row r="30" spans="1:10" ht="24" customHeight="1">
      <c r="A30" s="16"/>
      <c r="B30" s="16"/>
      <c r="C30" s="16"/>
      <c r="D30" s="16"/>
      <c r="E30" s="16"/>
      <c r="F30" s="16"/>
      <c r="G30" s="16"/>
      <c r="H30" s="16"/>
      <c r="I30" s="16"/>
      <c r="J30" s="16"/>
    </row>
    <row r="31" spans="1:10" ht="24" customHeight="1">
      <c r="A31" s="16"/>
      <c r="B31" s="16"/>
      <c r="C31" s="16"/>
      <c r="D31" s="16"/>
      <c r="E31" s="16"/>
      <c r="F31" s="16"/>
      <c r="G31" s="16"/>
      <c r="H31" s="16"/>
      <c r="I31" s="16"/>
      <c r="J31" s="16"/>
    </row>
  </sheetData>
  <mergeCells count="3">
    <mergeCell ref="A27:J27"/>
    <mergeCell ref="A1:J1"/>
    <mergeCell ref="A28:J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0"/>
  <sheetViews>
    <sheetView showGridLines="0" workbookViewId="0"/>
  </sheetViews>
  <sheetFormatPr baseColWidth="10" defaultColWidth="8.83203125" defaultRowHeight="15"/>
  <cols>
    <col min="1" max="1" width="34" customWidth="1"/>
    <col min="2" max="2" width="24" customWidth="1"/>
    <col min="3" max="3" width="42" customWidth="1"/>
    <col min="4" max="4" width="25" customWidth="1"/>
    <col min="5" max="5" width="18" customWidth="1"/>
    <col min="6" max="6" width="38" customWidth="1"/>
    <col min="7" max="7" width="19" customWidth="1"/>
    <col min="8" max="8" width="4" customWidth="1"/>
    <col min="9" max="9" width="38" customWidth="1"/>
    <col min="10" max="10" width="20" customWidth="1"/>
  </cols>
  <sheetData>
    <row r="1" spans="1:10" ht="24">
      <c r="A1" s="21" t="s">
        <v>0</v>
      </c>
      <c r="B1" s="16"/>
      <c r="C1" s="16"/>
      <c r="D1" s="16"/>
      <c r="E1" s="16"/>
      <c r="F1" s="16"/>
      <c r="G1" s="16"/>
      <c r="H1" s="16"/>
      <c r="I1" s="16"/>
      <c r="J1" s="16"/>
    </row>
    <row r="2" spans="1:10" ht="18">
      <c r="A2" s="23" t="s">
        <v>1</v>
      </c>
      <c r="B2" s="16"/>
      <c r="C2" s="16"/>
      <c r="D2" s="16"/>
      <c r="E2" s="16"/>
      <c r="F2" s="16"/>
      <c r="G2" s="16"/>
      <c r="H2" s="16"/>
      <c r="I2" s="16"/>
      <c r="J2" s="16"/>
    </row>
    <row r="3" spans="1:10">
      <c r="A3" s="1"/>
      <c r="B3" s="1"/>
      <c r="C3" s="1"/>
      <c r="D3" s="1"/>
      <c r="E3" s="1"/>
      <c r="F3" s="1"/>
      <c r="G3" s="1"/>
      <c r="H3" s="1"/>
      <c r="I3" s="1"/>
      <c r="J3" s="1"/>
    </row>
    <row r="4" spans="1:10" ht="18">
      <c r="A4" s="17" t="s">
        <v>169</v>
      </c>
      <c r="B4" s="16"/>
      <c r="C4" s="16"/>
      <c r="D4" s="16"/>
      <c r="E4" s="16"/>
      <c r="F4" s="16"/>
      <c r="G4" s="16"/>
      <c r="H4" s="16"/>
      <c r="I4" s="16"/>
      <c r="J4" s="16"/>
    </row>
    <row r="5" spans="1:10">
      <c r="A5" s="1"/>
      <c r="B5" s="1"/>
      <c r="C5" s="1"/>
      <c r="D5" s="1"/>
      <c r="E5" s="1"/>
      <c r="F5" s="1"/>
      <c r="G5" s="1"/>
      <c r="H5" s="1"/>
      <c r="I5" s="1"/>
      <c r="J5" s="1"/>
    </row>
    <row r="6" spans="1:10">
      <c r="A6" s="1" t="s">
        <v>3</v>
      </c>
      <c r="B6" s="5" t="s">
        <v>170</v>
      </c>
      <c r="C6" s="1"/>
      <c r="D6" s="1"/>
      <c r="E6" s="1"/>
      <c r="F6" s="1"/>
      <c r="G6" s="1"/>
      <c r="H6" s="1"/>
      <c r="I6" s="1"/>
      <c r="J6" s="1"/>
    </row>
    <row r="7" spans="1:10">
      <c r="A7" s="1" t="s">
        <v>5</v>
      </c>
      <c r="B7" s="5"/>
      <c r="C7" s="1"/>
      <c r="D7" s="1"/>
      <c r="E7" s="1"/>
      <c r="F7" s="1"/>
      <c r="G7" s="1"/>
      <c r="H7" s="1"/>
      <c r="I7" s="1"/>
      <c r="J7" s="1"/>
    </row>
    <row r="8" spans="1:10">
      <c r="A8" s="1" t="s">
        <v>6</v>
      </c>
      <c r="B8" s="5"/>
      <c r="C8" s="1"/>
      <c r="D8" s="1"/>
      <c r="E8" s="1"/>
      <c r="F8" s="1"/>
      <c r="G8" s="1"/>
      <c r="H8" s="1"/>
      <c r="I8" s="1"/>
      <c r="J8" s="1"/>
    </row>
    <row r="9" spans="1:10">
      <c r="A9" s="1" t="s">
        <v>7</v>
      </c>
      <c r="B9" s="5"/>
      <c r="C9" s="1"/>
      <c r="D9" s="1"/>
      <c r="E9" s="1"/>
      <c r="F9" s="1"/>
      <c r="G9" s="1"/>
      <c r="H9" s="1"/>
      <c r="I9" s="1"/>
      <c r="J9" s="1"/>
    </row>
    <row r="10" spans="1:10">
      <c r="A10" s="1"/>
      <c r="B10" s="1"/>
      <c r="C10" s="1"/>
      <c r="D10" s="1"/>
      <c r="E10" s="1"/>
      <c r="F10" s="1"/>
      <c r="G10" s="1"/>
      <c r="H10" s="1"/>
      <c r="I10" s="1"/>
      <c r="J10" s="1"/>
    </row>
    <row r="11" spans="1:10" ht="16">
      <c r="A11" s="20" t="s">
        <v>8</v>
      </c>
      <c r="B11" s="16"/>
      <c r="C11" s="16"/>
      <c r="D11" s="16"/>
      <c r="E11" s="16"/>
      <c r="F11" s="16"/>
      <c r="G11" s="16"/>
      <c r="H11" s="16"/>
      <c r="I11" s="16"/>
      <c r="J11" s="16"/>
    </row>
    <row r="12" spans="1:10" ht="24" customHeight="1">
      <c r="A12" s="18" t="s">
        <v>9</v>
      </c>
      <c r="B12" s="16"/>
      <c r="C12" s="16"/>
      <c r="D12" s="16"/>
      <c r="E12" s="16"/>
      <c r="F12" s="16"/>
      <c r="G12" s="16"/>
      <c r="H12" s="16"/>
      <c r="I12" s="16"/>
      <c r="J12" s="16"/>
    </row>
    <row r="13" spans="1:10" ht="24" customHeight="1">
      <c r="A13" s="16"/>
      <c r="B13" s="16"/>
      <c r="C13" s="16"/>
      <c r="D13" s="16"/>
      <c r="E13" s="16"/>
      <c r="F13" s="16"/>
      <c r="G13" s="16"/>
      <c r="H13" s="16"/>
      <c r="I13" s="16"/>
      <c r="J13" s="16"/>
    </row>
    <row r="14" spans="1:10" ht="24" customHeight="1">
      <c r="A14" s="16"/>
      <c r="B14" s="16"/>
      <c r="C14" s="16"/>
      <c r="D14" s="16"/>
      <c r="E14" s="16"/>
      <c r="F14" s="16"/>
      <c r="G14" s="16"/>
      <c r="H14" s="16"/>
      <c r="I14" s="16"/>
      <c r="J14" s="16"/>
    </row>
    <row r="15" spans="1:10" ht="24" customHeight="1">
      <c r="A15" s="16"/>
      <c r="B15" s="16"/>
      <c r="C15" s="16"/>
      <c r="D15" s="16"/>
      <c r="E15" s="16"/>
      <c r="F15" s="16"/>
      <c r="G15" s="16"/>
      <c r="H15" s="16"/>
      <c r="I15" s="16"/>
      <c r="J15" s="16"/>
    </row>
    <row r="16" spans="1:10">
      <c r="A16" s="1"/>
      <c r="B16" s="1"/>
      <c r="C16" s="1"/>
      <c r="D16" s="1"/>
      <c r="E16" s="1"/>
      <c r="F16" s="1"/>
      <c r="G16" s="1"/>
      <c r="H16" s="1"/>
      <c r="I16" s="1"/>
      <c r="J16" s="1"/>
    </row>
    <row r="17" spans="1:10" ht="16">
      <c r="A17" s="20" t="s">
        <v>10</v>
      </c>
      <c r="B17" s="16"/>
      <c r="C17" s="16"/>
      <c r="D17" s="16"/>
      <c r="E17" s="16"/>
      <c r="F17" s="16"/>
      <c r="G17" s="1"/>
      <c r="H17" s="1"/>
      <c r="I17" s="1"/>
      <c r="J17" s="1"/>
    </row>
    <row r="18" spans="1:10" ht="16">
      <c r="A18" s="2" t="s">
        <v>11</v>
      </c>
      <c r="B18" s="2" t="s">
        <v>12</v>
      </c>
      <c r="C18" s="1"/>
      <c r="D18" s="1"/>
      <c r="E18" s="1"/>
      <c r="F18" s="1"/>
      <c r="G18" s="1"/>
      <c r="H18" s="1"/>
      <c r="I18" s="1"/>
      <c r="J18" s="1"/>
    </row>
    <row r="19" spans="1:10" ht="16">
      <c r="A19" s="3" t="s">
        <v>13</v>
      </c>
      <c r="B19" s="3" t="s">
        <v>14</v>
      </c>
      <c r="C19" s="1"/>
      <c r="D19" s="1"/>
      <c r="E19" s="1"/>
      <c r="F19" s="1"/>
      <c r="G19" s="1"/>
      <c r="H19" s="1"/>
      <c r="I19" s="1"/>
      <c r="J19" s="1"/>
    </row>
    <row r="20" spans="1:10" ht="16">
      <c r="A20" s="3" t="s">
        <v>15</v>
      </c>
      <c r="B20" s="3" t="s">
        <v>16</v>
      </c>
      <c r="C20" s="1"/>
      <c r="D20" s="1"/>
      <c r="E20" s="1"/>
      <c r="F20" s="1"/>
      <c r="G20" s="1"/>
      <c r="H20" s="1"/>
      <c r="I20" s="1"/>
      <c r="J20" s="1"/>
    </row>
    <row r="21" spans="1:10" ht="16">
      <c r="A21" s="3" t="s">
        <v>17</v>
      </c>
      <c r="B21" s="3" t="s">
        <v>18</v>
      </c>
      <c r="C21" s="1"/>
      <c r="D21" s="1"/>
      <c r="E21" s="1"/>
      <c r="F21" s="1"/>
      <c r="G21" s="1"/>
      <c r="H21" s="1"/>
      <c r="I21" s="1"/>
      <c r="J21" s="1"/>
    </row>
    <row r="22" spans="1:10" ht="16">
      <c r="A22" s="3" t="s">
        <v>19</v>
      </c>
      <c r="B22" s="3" t="s">
        <v>20</v>
      </c>
      <c r="C22" s="1"/>
      <c r="D22" s="1"/>
      <c r="E22" s="1"/>
      <c r="F22" s="1"/>
      <c r="G22" s="1"/>
      <c r="H22" s="1"/>
      <c r="I22" s="1"/>
      <c r="J22" s="1"/>
    </row>
    <row r="23" spans="1:10">
      <c r="A23" s="1"/>
      <c r="B23" s="1"/>
      <c r="C23" s="1"/>
      <c r="D23" s="1"/>
      <c r="E23" s="1"/>
      <c r="F23" s="1"/>
      <c r="G23" s="1"/>
      <c r="H23" s="1"/>
      <c r="I23" s="1"/>
      <c r="J23" s="1"/>
    </row>
    <row r="24" spans="1:10" ht="16">
      <c r="A24" s="20" t="s">
        <v>21</v>
      </c>
      <c r="B24" s="16"/>
      <c r="C24" s="16"/>
      <c r="D24" s="16"/>
      <c r="E24" s="16"/>
      <c r="F24" s="16"/>
      <c r="G24" s="16"/>
      <c r="H24" s="16"/>
      <c r="I24" s="16"/>
      <c r="J24" s="16"/>
    </row>
    <row r="25" spans="1:10" ht="16">
      <c r="A25" s="2" t="s">
        <v>22</v>
      </c>
      <c r="B25" s="2" t="s">
        <v>23</v>
      </c>
      <c r="C25" s="2" t="s">
        <v>24</v>
      </c>
      <c r="D25" s="1"/>
      <c r="E25" s="1"/>
      <c r="F25" s="1"/>
      <c r="G25" s="1"/>
      <c r="H25" s="1"/>
      <c r="I25" s="1"/>
      <c r="J25" s="1"/>
    </row>
    <row r="26" spans="1:10" ht="34" customHeight="1">
      <c r="A26" s="3" t="s">
        <v>5</v>
      </c>
      <c r="B26" s="3" t="s">
        <v>25</v>
      </c>
      <c r="C26" s="3" t="s">
        <v>26</v>
      </c>
      <c r="D26" s="1"/>
      <c r="E26" s="1"/>
      <c r="F26" s="1"/>
      <c r="G26" s="1"/>
      <c r="H26" s="1"/>
      <c r="I26" s="1"/>
      <c r="J26" s="1"/>
    </row>
    <row r="27" spans="1:10" ht="34" customHeight="1">
      <c r="A27" s="3" t="s">
        <v>6</v>
      </c>
      <c r="B27" s="3" t="s">
        <v>27</v>
      </c>
      <c r="C27" s="3" t="s">
        <v>28</v>
      </c>
      <c r="D27" s="1"/>
      <c r="E27" s="1"/>
      <c r="F27" s="1"/>
      <c r="G27" s="1"/>
      <c r="H27" s="1"/>
      <c r="I27" s="1"/>
      <c r="J27" s="1"/>
    </row>
    <row r="28" spans="1:10" ht="34" customHeight="1">
      <c r="A28" s="3" t="s">
        <v>7</v>
      </c>
      <c r="B28" s="3" t="s">
        <v>29</v>
      </c>
      <c r="C28" s="3" t="s">
        <v>30</v>
      </c>
      <c r="D28" s="1"/>
      <c r="E28" s="1"/>
      <c r="F28" s="1"/>
      <c r="G28" s="1"/>
      <c r="H28" s="1"/>
      <c r="I28" s="1"/>
      <c r="J28" s="1"/>
    </row>
    <row r="29" spans="1:10">
      <c r="A29" s="1"/>
      <c r="B29" s="1"/>
      <c r="C29" s="1"/>
      <c r="D29" s="1"/>
      <c r="E29" s="1"/>
      <c r="F29" s="1"/>
      <c r="G29" s="1"/>
      <c r="H29" s="1"/>
      <c r="I29" s="1"/>
      <c r="J29" s="1"/>
    </row>
    <row r="30" spans="1:10" ht="16">
      <c r="A30" s="20" t="s">
        <v>31</v>
      </c>
      <c r="B30" s="16"/>
      <c r="C30" s="16"/>
      <c r="D30" s="16"/>
      <c r="E30" s="16"/>
      <c r="F30" s="16"/>
      <c r="G30" s="16"/>
      <c r="H30" s="16"/>
      <c r="I30" s="16"/>
      <c r="J30" s="16"/>
    </row>
    <row r="31" spans="1:10" ht="16">
      <c r="A31" s="2" t="s">
        <v>32</v>
      </c>
      <c r="B31" s="2" t="s">
        <v>33</v>
      </c>
      <c r="C31" s="2" t="s">
        <v>34</v>
      </c>
      <c r="D31" s="2" t="s">
        <v>35</v>
      </c>
      <c r="E31" s="1"/>
      <c r="F31" s="1"/>
      <c r="G31" s="1"/>
      <c r="H31" s="1"/>
      <c r="I31" s="1"/>
      <c r="J31" s="1"/>
    </row>
    <row r="32" spans="1:10" ht="48">
      <c r="A32" s="3" t="s">
        <v>36</v>
      </c>
      <c r="B32" s="3">
        <v>10</v>
      </c>
      <c r="C32" s="3" t="s">
        <v>37</v>
      </c>
      <c r="D32" s="3" t="s">
        <v>38</v>
      </c>
      <c r="E32" s="1"/>
      <c r="F32" s="1"/>
      <c r="G32" s="1"/>
      <c r="H32" s="1"/>
      <c r="I32" s="1"/>
      <c r="J32" s="1"/>
    </row>
    <row r="33" spans="1:10">
      <c r="A33" s="3"/>
      <c r="B33" s="3"/>
      <c r="C33" s="3"/>
      <c r="D33" s="3"/>
      <c r="E33" s="1"/>
      <c r="F33" s="1"/>
      <c r="G33" s="1"/>
      <c r="H33" s="1"/>
      <c r="I33" s="1"/>
      <c r="J33" s="1"/>
    </row>
    <row r="34" spans="1:10">
      <c r="A34" s="1"/>
      <c r="B34" s="1"/>
      <c r="C34" s="1"/>
      <c r="D34" s="1"/>
      <c r="E34" s="1"/>
      <c r="F34" s="1"/>
      <c r="G34" s="1"/>
      <c r="H34" s="1"/>
      <c r="I34" s="1"/>
      <c r="J34" s="1"/>
    </row>
    <row r="35" spans="1:10" ht="32">
      <c r="A35" s="2" t="s">
        <v>39</v>
      </c>
      <c r="B35" s="2" t="s">
        <v>33</v>
      </c>
      <c r="C35" s="2" t="s">
        <v>34</v>
      </c>
      <c r="D35" s="2" t="s">
        <v>40</v>
      </c>
      <c r="E35" s="1"/>
      <c r="F35" s="1"/>
      <c r="G35" s="1"/>
      <c r="H35" s="1"/>
      <c r="I35" s="1"/>
      <c r="J35" s="1"/>
    </row>
    <row r="36" spans="1:10" ht="32">
      <c r="A36" s="3" t="s">
        <v>41</v>
      </c>
      <c r="B36" s="3">
        <v>20</v>
      </c>
      <c r="C36" s="3" t="s">
        <v>42</v>
      </c>
      <c r="D36" s="3" t="s">
        <v>43</v>
      </c>
      <c r="E36" s="1"/>
      <c r="F36" s="1"/>
      <c r="G36" s="1"/>
      <c r="H36" s="1"/>
      <c r="I36" s="1"/>
      <c r="J36" s="1"/>
    </row>
    <row r="37" spans="1:10" ht="32">
      <c r="A37" s="3" t="s">
        <v>44</v>
      </c>
      <c r="B37" s="3">
        <v>35</v>
      </c>
      <c r="C37" s="3" t="s">
        <v>45</v>
      </c>
      <c r="D37" s="3" t="s">
        <v>46</v>
      </c>
      <c r="E37" s="1"/>
      <c r="F37" s="1"/>
      <c r="G37" s="1"/>
      <c r="H37" s="1"/>
      <c r="I37" s="1"/>
      <c r="J37" s="1"/>
    </row>
    <row r="38" spans="1:10" ht="32">
      <c r="A38" s="3" t="s">
        <v>47</v>
      </c>
      <c r="B38" s="3">
        <v>60</v>
      </c>
      <c r="C38" s="3" t="s">
        <v>48</v>
      </c>
      <c r="D38" s="3" t="s">
        <v>49</v>
      </c>
      <c r="E38" s="1"/>
      <c r="F38" s="1"/>
      <c r="G38" s="1"/>
      <c r="H38" s="1"/>
      <c r="I38" s="1"/>
      <c r="J38" s="1"/>
    </row>
    <row r="39" spans="1:10">
      <c r="A39" s="1"/>
      <c r="B39" s="1"/>
      <c r="C39" s="1"/>
      <c r="D39" s="1"/>
      <c r="E39" s="1"/>
      <c r="F39" s="1"/>
      <c r="G39" s="1"/>
      <c r="H39" s="1"/>
      <c r="I39" s="1"/>
      <c r="J39" s="1"/>
    </row>
    <row r="40" spans="1:10" ht="16">
      <c r="A40" s="20" t="s">
        <v>50</v>
      </c>
      <c r="B40" s="16"/>
      <c r="C40" s="16"/>
      <c r="D40" s="16"/>
      <c r="E40" s="16"/>
      <c r="F40" s="16"/>
      <c r="G40" s="16"/>
      <c r="H40" s="16"/>
      <c r="I40" s="16"/>
      <c r="J40" s="16"/>
    </row>
    <row r="41" spans="1:10">
      <c r="A41" s="19" t="s">
        <v>51</v>
      </c>
      <c r="B41" s="16"/>
      <c r="C41" s="16"/>
      <c r="D41" s="16"/>
      <c r="E41" s="16"/>
      <c r="F41" s="16"/>
      <c r="G41" s="16"/>
      <c r="H41" s="16"/>
      <c r="I41" s="16"/>
      <c r="J41" s="16"/>
    </row>
    <row r="42" spans="1:10">
      <c r="A42" s="16"/>
      <c r="B42" s="16"/>
      <c r="C42" s="16"/>
      <c r="D42" s="16"/>
      <c r="E42" s="16"/>
      <c r="F42" s="16"/>
      <c r="G42" s="16"/>
      <c r="H42" s="16"/>
      <c r="I42" s="16"/>
      <c r="J42" s="16"/>
    </row>
    <row r="43" spans="1:10">
      <c r="A43" s="1"/>
      <c r="B43" s="1"/>
      <c r="C43" s="1"/>
      <c r="D43" s="1"/>
      <c r="E43" s="1"/>
      <c r="F43" s="1"/>
      <c r="G43" s="1"/>
      <c r="H43" s="1"/>
      <c r="I43" s="1"/>
      <c r="J43" s="1"/>
    </row>
    <row r="44" spans="1:10" ht="16">
      <c r="A44" s="2" t="s">
        <v>52</v>
      </c>
      <c r="B44" s="2" t="s">
        <v>53</v>
      </c>
      <c r="C44" s="2" t="s">
        <v>54</v>
      </c>
      <c r="D44" s="1"/>
      <c r="E44" s="1"/>
      <c r="F44" s="2" t="s">
        <v>55</v>
      </c>
      <c r="G44" s="2" t="s">
        <v>56</v>
      </c>
      <c r="H44" s="1"/>
      <c r="I44" s="1"/>
      <c r="J44" s="1"/>
    </row>
    <row r="45" spans="1:10" ht="16">
      <c r="A45" s="3" t="s">
        <v>57</v>
      </c>
      <c r="B45" s="4"/>
      <c r="C45" s="3" t="s">
        <v>58</v>
      </c>
      <c r="D45" s="1"/>
      <c r="E45" s="1"/>
      <c r="F45" s="3" t="s">
        <v>59</v>
      </c>
      <c r="G45" s="6" t="str">
        <f>IF(COUNT(B45:B48)=0,"",MAX(0,B45-G46)*'Scoring Backend'!$C$4+B46*'Scoring Backend'!$C$6+B47*'Scoring Backend'!$C$7+B48*'Scoring Backend'!$C$8)</f>
        <v/>
      </c>
      <c r="H45" s="1"/>
      <c r="I45" s="1"/>
      <c r="J45" s="1"/>
    </row>
    <row r="46" spans="1:10" ht="16">
      <c r="A46" s="3" t="s">
        <v>60</v>
      </c>
      <c r="B46" s="4"/>
      <c r="C46" s="3" t="s">
        <v>61</v>
      </c>
      <c r="D46" s="1"/>
      <c r="E46" s="1"/>
      <c r="F46" s="3" t="s">
        <v>62</v>
      </c>
      <c r="G46" s="6" t="str">
        <f>IF(COUNT(B45:B48)=0,"",B46*'Scoring Backend'!$G$4+B47*'Scoring Backend'!$G$5+B48*'Scoring Backend'!$G$6)</f>
        <v/>
      </c>
      <c r="H46" s="1"/>
      <c r="I46" s="1"/>
      <c r="J46" s="1"/>
    </row>
    <row r="47" spans="1:10" ht="16">
      <c r="A47" s="3" t="s">
        <v>63</v>
      </c>
      <c r="B47" s="4"/>
      <c r="C47" s="3" t="s">
        <v>64</v>
      </c>
      <c r="D47" s="1"/>
      <c r="E47" s="1"/>
      <c r="F47" s="3" t="s">
        <v>65</v>
      </c>
      <c r="G47" s="6" t="str">
        <f>IF(COUNT(B45:B48)=0,"",IF(B45&gt;=G46,"PASS","FAIL"))</f>
        <v/>
      </c>
      <c r="H47" s="1"/>
      <c r="I47" s="1"/>
      <c r="J47" s="1"/>
    </row>
    <row r="48" spans="1:10" ht="16">
      <c r="A48" s="3" t="s">
        <v>66</v>
      </c>
      <c r="B48" s="4"/>
      <c r="C48" s="3" t="s">
        <v>67</v>
      </c>
      <c r="D48" s="1"/>
      <c r="E48" s="1"/>
      <c r="F48" s="3" t="s">
        <v>68</v>
      </c>
      <c r="G48" s="6" t="str">
        <f>IF(COUNT(B45:B48)=0,"",IF(G45&gt;='Scoring Backend'!$B$20,"PASS","FAIL"))</f>
        <v/>
      </c>
      <c r="H48" s="1"/>
      <c r="I48" s="1"/>
      <c r="J48" s="1"/>
    </row>
    <row r="49" spans="1:10" ht="16">
      <c r="A49" s="1"/>
      <c r="B49" s="1"/>
      <c r="C49" s="1"/>
      <c r="D49" s="1"/>
      <c r="E49" s="1"/>
      <c r="F49" s="3" t="s">
        <v>69</v>
      </c>
      <c r="G49" s="6" t="str">
        <f>IF(COUNT(B45:B48)=0,"",B45*'Scoring Backend'!$B$4+B46*'Scoring Backend'!$B$6+B47*'Scoring Backend'!$B$7+B48*'Scoring Backend'!$B$8)</f>
        <v/>
      </c>
      <c r="H49" s="1"/>
      <c r="I49" s="1"/>
      <c r="J49" s="1"/>
    </row>
    <row r="50" spans="1:10">
      <c r="A50" s="1"/>
      <c r="B50" s="1"/>
      <c r="C50" s="1"/>
      <c r="D50" s="1"/>
      <c r="E50" s="1"/>
      <c r="F50" s="1"/>
      <c r="G50" s="1"/>
      <c r="H50" s="1"/>
      <c r="I50" s="1"/>
      <c r="J50" s="1"/>
    </row>
    <row r="51" spans="1:10">
      <c r="A51" s="1"/>
      <c r="B51" s="1"/>
      <c r="C51" s="1"/>
      <c r="D51" s="1"/>
      <c r="E51" s="1"/>
      <c r="F51" s="1"/>
      <c r="G51" s="1"/>
      <c r="H51" s="1"/>
      <c r="I51" s="1"/>
      <c r="J51" s="1"/>
    </row>
    <row r="52" spans="1:10" ht="16">
      <c r="A52" s="2" t="s">
        <v>70</v>
      </c>
      <c r="B52" s="2"/>
      <c r="C52" s="2"/>
      <c r="D52" s="1"/>
      <c r="E52" s="1"/>
      <c r="F52" s="1"/>
      <c r="G52" s="1"/>
      <c r="H52" s="1"/>
      <c r="I52" s="1"/>
      <c r="J52" s="1"/>
    </row>
    <row r="53" spans="1:10" ht="16">
      <c r="A53" s="3" t="s">
        <v>71</v>
      </c>
      <c r="B53" s="15"/>
      <c r="C53" s="16"/>
      <c r="D53" s="1"/>
      <c r="E53" s="1"/>
      <c r="F53" s="1"/>
      <c r="G53" s="1"/>
      <c r="H53" s="1"/>
      <c r="I53" s="1"/>
      <c r="J53" s="1"/>
    </row>
    <row r="54" spans="1:10" ht="32">
      <c r="A54" s="3" t="s">
        <v>72</v>
      </c>
      <c r="B54" s="15"/>
      <c r="C54" s="16"/>
      <c r="D54" s="1"/>
      <c r="E54" s="1"/>
      <c r="F54" s="1"/>
      <c r="G54" s="1"/>
      <c r="H54" s="1"/>
      <c r="I54" s="1"/>
      <c r="J54" s="1"/>
    </row>
    <row r="55" spans="1:10" ht="16">
      <c r="A55" s="3" t="s">
        <v>73</v>
      </c>
      <c r="B55" s="15"/>
      <c r="C55" s="16"/>
      <c r="D55" s="1"/>
      <c r="E55" s="1"/>
      <c r="F55" s="1"/>
      <c r="G55" s="1"/>
      <c r="H55" s="1"/>
      <c r="I55" s="1"/>
      <c r="J55" s="1"/>
    </row>
    <row r="56" spans="1:10" ht="32">
      <c r="A56" s="3" t="s">
        <v>74</v>
      </c>
      <c r="B56" s="3" t="s">
        <v>75</v>
      </c>
      <c r="C56" s="3"/>
      <c r="D56" s="1"/>
      <c r="E56" s="1"/>
      <c r="F56" s="1"/>
      <c r="G56" s="1"/>
      <c r="H56" s="1"/>
      <c r="I56" s="1"/>
      <c r="J56" s="1"/>
    </row>
    <row r="57" spans="1:10">
      <c r="A57" s="1"/>
      <c r="B57" s="1"/>
      <c r="C57" s="1"/>
      <c r="D57" s="1"/>
      <c r="E57" s="1"/>
      <c r="F57" s="1"/>
      <c r="G57" s="1"/>
      <c r="H57" s="1"/>
      <c r="I57" s="1"/>
      <c r="J57" s="1"/>
    </row>
    <row r="58" spans="1:10">
      <c r="A58" s="1"/>
      <c r="B58" s="1"/>
      <c r="C58" s="1"/>
      <c r="D58" s="1"/>
      <c r="E58" s="1"/>
      <c r="F58" s="1"/>
      <c r="G58" s="1"/>
      <c r="H58" s="1"/>
      <c r="I58" s="1"/>
      <c r="J58" s="1"/>
    </row>
    <row r="59" spans="1:10" ht="16">
      <c r="A59" s="20" t="s">
        <v>76</v>
      </c>
      <c r="B59" s="16"/>
      <c r="C59" s="16"/>
      <c r="D59" s="16"/>
      <c r="E59" s="16"/>
      <c r="F59" s="16"/>
      <c r="G59" s="16"/>
      <c r="H59" s="16"/>
      <c r="I59" s="16"/>
      <c r="J59" s="16"/>
    </row>
    <row r="60" spans="1:10" ht="24" customHeight="1">
      <c r="A60" s="18" t="s">
        <v>77</v>
      </c>
      <c r="B60" s="16"/>
      <c r="C60" s="16"/>
      <c r="D60" s="16"/>
      <c r="E60" s="16"/>
      <c r="F60" s="16"/>
      <c r="G60" s="16"/>
      <c r="H60" s="16"/>
      <c r="I60" s="16"/>
      <c r="J60" s="16"/>
    </row>
    <row r="61" spans="1:10" ht="24" customHeight="1">
      <c r="A61" s="16"/>
      <c r="B61" s="16"/>
      <c r="C61" s="16"/>
      <c r="D61" s="16"/>
      <c r="E61" s="16"/>
      <c r="F61" s="16"/>
      <c r="G61" s="16"/>
      <c r="H61" s="16"/>
      <c r="I61" s="16"/>
      <c r="J61" s="16"/>
    </row>
    <row r="62" spans="1:10" ht="24" customHeight="1">
      <c r="A62" s="16"/>
      <c r="B62" s="16"/>
      <c r="C62" s="16"/>
      <c r="D62" s="16"/>
      <c r="E62" s="16"/>
      <c r="F62" s="16"/>
      <c r="G62" s="16"/>
      <c r="H62" s="16"/>
      <c r="I62" s="16"/>
      <c r="J62" s="16"/>
    </row>
    <row r="63" spans="1:10" ht="24" customHeight="1">
      <c r="A63" s="16"/>
      <c r="B63" s="16"/>
      <c r="C63" s="16"/>
      <c r="D63" s="16"/>
      <c r="E63" s="16"/>
      <c r="F63" s="16"/>
      <c r="G63" s="16"/>
      <c r="H63" s="16"/>
      <c r="I63" s="16"/>
      <c r="J63" s="16"/>
    </row>
    <row r="64" spans="1:10">
      <c r="A64" s="1"/>
      <c r="B64" s="1"/>
      <c r="C64" s="1"/>
      <c r="D64" s="1"/>
      <c r="E64" s="1"/>
      <c r="F64" s="1"/>
      <c r="G64" s="1"/>
      <c r="H64" s="1"/>
      <c r="I64" s="1"/>
      <c r="J64" s="1"/>
    </row>
    <row r="65" spans="1:10" ht="32">
      <c r="A65" s="2" t="s">
        <v>78</v>
      </c>
      <c r="B65" s="2" t="s">
        <v>33</v>
      </c>
      <c r="C65" s="2" t="s">
        <v>79</v>
      </c>
      <c r="D65" s="2" t="s">
        <v>80</v>
      </c>
      <c r="E65" s="2" t="s">
        <v>81</v>
      </c>
      <c r="F65" s="2" t="s">
        <v>82</v>
      </c>
      <c r="G65" s="2" t="s">
        <v>83</v>
      </c>
      <c r="H65" s="1"/>
      <c r="I65" s="1"/>
      <c r="J65" s="1"/>
    </row>
    <row r="66" spans="1:10" ht="16">
      <c r="A66" s="3" t="s">
        <v>84</v>
      </c>
      <c r="B66" s="3">
        <v>20</v>
      </c>
      <c r="C66" s="3">
        <v>-5</v>
      </c>
      <c r="D66" s="3">
        <v>-5</v>
      </c>
      <c r="E66" s="3">
        <v>-15</v>
      </c>
      <c r="F66" s="3" t="s">
        <v>85</v>
      </c>
      <c r="G66" s="3" t="s">
        <v>86</v>
      </c>
      <c r="H66" s="1"/>
      <c r="I66" s="1"/>
      <c r="J66" s="1"/>
    </row>
    <row r="67" spans="1:10" ht="16">
      <c r="A67" s="3" t="s">
        <v>87</v>
      </c>
      <c r="B67" s="3">
        <v>30</v>
      </c>
      <c r="C67" s="3">
        <v>10</v>
      </c>
      <c r="D67" s="3">
        <v>10</v>
      </c>
      <c r="E67" s="3">
        <v>15</v>
      </c>
      <c r="F67" s="3" t="s">
        <v>88</v>
      </c>
      <c r="G67" s="3" t="s">
        <v>89</v>
      </c>
      <c r="H67" s="1"/>
      <c r="I67" s="1"/>
      <c r="J67" s="1"/>
    </row>
    <row r="68" spans="1:10" ht="16">
      <c r="A68" s="3" t="s">
        <v>90</v>
      </c>
      <c r="B68" s="3">
        <v>40</v>
      </c>
      <c r="C68" s="3">
        <v>20</v>
      </c>
      <c r="D68" s="3">
        <v>15</v>
      </c>
      <c r="E68" s="3">
        <v>10</v>
      </c>
      <c r="F68" s="3" t="s">
        <v>91</v>
      </c>
      <c r="G68" s="3" t="s">
        <v>92</v>
      </c>
      <c r="H68" s="1"/>
      <c r="I68" s="1"/>
      <c r="J68" s="1"/>
    </row>
    <row r="69" spans="1:10" ht="48">
      <c r="A69" s="3" t="s">
        <v>93</v>
      </c>
      <c r="B69" s="15"/>
      <c r="C69" s="16"/>
      <c r="D69" s="16"/>
      <c r="E69" s="16"/>
      <c r="F69" s="3" t="s">
        <v>94</v>
      </c>
      <c r="G69" s="7" t="s">
        <v>95</v>
      </c>
      <c r="H69" s="1"/>
      <c r="I69" s="1"/>
      <c r="J69" s="1"/>
    </row>
    <row r="70" spans="1:10">
      <c r="A70" s="1"/>
      <c r="B70" s="1"/>
      <c r="C70" s="1"/>
      <c r="D70" s="1"/>
      <c r="E70" s="1"/>
      <c r="F70" s="1"/>
      <c r="G70" s="1"/>
      <c r="H70" s="1"/>
      <c r="I70" s="1"/>
      <c r="J70" s="1"/>
    </row>
    <row r="71" spans="1:10">
      <c r="A71" s="1"/>
      <c r="B71" s="1"/>
      <c r="C71" s="1"/>
      <c r="D71" s="1"/>
      <c r="E71" s="1"/>
      <c r="F71" s="1"/>
      <c r="G71" s="1"/>
      <c r="H71" s="1"/>
      <c r="I71" s="1"/>
      <c r="J71" s="1"/>
    </row>
    <row r="72" spans="1:10" ht="16">
      <c r="A72" s="2" t="s">
        <v>96</v>
      </c>
      <c r="B72" s="2" t="s">
        <v>53</v>
      </c>
      <c r="C72" s="2" t="s">
        <v>54</v>
      </c>
      <c r="D72" s="2" t="s">
        <v>79</v>
      </c>
      <c r="E72" s="2" t="s">
        <v>80</v>
      </c>
      <c r="F72" s="2" t="s">
        <v>97</v>
      </c>
      <c r="G72" s="2" t="s">
        <v>98</v>
      </c>
      <c r="H72" s="1"/>
      <c r="I72" s="2" t="s">
        <v>99</v>
      </c>
      <c r="J72" s="2" t="s">
        <v>100</v>
      </c>
    </row>
    <row r="73" spans="1:10" ht="16">
      <c r="A73" s="3" t="s">
        <v>57</v>
      </c>
      <c r="B73" s="4"/>
      <c r="C73" s="3" t="s">
        <v>58</v>
      </c>
      <c r="D73" s="3">
        <v>0</v>
      </c>
      <c r="E73" s="3">
        <v>0</v>
      </c>
      <c r="F73" s="3">
        <v>0</v>
      </c>
      <c r="G73" s="6" t="str">
        <f>IF(B73="","",B73*'Scoring Backend'!$B$4)</f>
        <v/>
      </c>
      <c r="H73" s="1"/>
      <c r="I73" s="3" t="s">
        <v>59</v>
      </c>
      <c r="J73" s="6" t="str">
        <f>IF(COUNT(B73:B76)=0,"",MAX(0,B73-J74)*'Scoring Backend'!$C$4+B74*'Scoring Backend'!$C$6+B75*'Scoring Backend'!$C$7+B76*'Scoring Backend'!$C$8)</f>
        <v/>
      </c>
    </row>
    <row r="74" spans="1:10" ht="16">
      <c r="A74" s="3" t="s">
        <v>60</v>
      </c>
      <c r="B74" s="4"/>
      <c r="C74" s="3" t="s">
        <v>61</v>
      </c>
      <c r="D74" s="3">
        <v>5</v>
      </c>
      <c r="E74" s="3">
        <v>5</v>
      </c>
      <c r="F74" s="3">
        <v>8</v>
      </c>
      <c r="G74" s="6" t="str">
        <f>IF(B74="","",B74*'Scoring Backend'!$B$6)</f>
        <v/>
      </c>
      <c r="H74" s="1"/>
      <c r="I74" s="3" t="s">
        <v>62</v>
      </c>
      <c r="J74" s="6" t="str">
        <f>IF(COUNT(B73:B76)=0,"",B74*'Scoring Backend'!$G$4+B75*'Scoring Backend'!$G$5+B76*'Scoring Backend'!$G$6)</f>
        <v/>
      </c>
    </row>
    <row r="75" spans="1:10" ht="16">
      <c r="A75" s="3" t="s">
        <v>63</v>
      </c>
      <c r="B75" s="4"/>
      <c r="C75" s="3" t="s">
        <v>64</v>
      </c>
      <c r="D75" s="3">
        <v>10</v>
      </c>
      <c r="E75" s="3">
        <v>10</v>
      </c>
      <c r="F75" s="3">
        <v>12</v>
      </c>
      <c r="G75" s="6" t="str">
        <f>IF(B75="","",B75*'Scoring Backend'!$B$7)</f>
        <v/>
      </c>
      <c r="H75" s="1"/>
      <c r="I75" s="3" t="s">
        <v>65</v>
      </c>
      <c r="J75" s="6" t="str">
        <f>IF(COUNT(B73:B76)=0,"",IF(B73&gt;=J74,"PASS","FAIL"))</f>
        <v/>
      </c>
    </row>
    <row r="76" spans="1:10" ht="16">
      <c r="A76" s="3" t="s">
        <v>66</v>
      </c>
      <c r="B76" s="4"/>
      <c r="C76" s="3" t="s">
        <v>67</v>
      </c>
      <c r="D76" s="3">
        <v>18</v>
      </c>
      <c r="E76" s="3">
        <v>8</v>
      </c>
      <c r="F76" s="3">
        <v>18</v>
      </c>
      <c r="G76" s="6" t="str">
        <f>IF(B76="","",B76*'Scoring Backend'!$B$8)</f>
        <v/>
      </c>
      <c r="H76" s="1"/>
      <c r="I76" s="3" t="s">
        <v>68</v>
      </c>
      <c r="J76" s="6" t="str">
        <f>IF(COUNT(B73:B76)=0,"",IF(J73&gt;='Scoring Backend'!$B$20,"PASS","FAIL"))</f>
        <v/>
      </c>
    </row>
    <row r="77" spans="1:10" ht="16">
      <c r="A77" s="1"/>
      <c r="B77" s="1"/>
      <c r="C77" s="1"/>
      <c r="D77" s="1"/>
      <c r="E77" s="1"/>
      <c r="F77" s="1"/>
      <c r="G77" s="1"/>
      <c r="H77" s="1"/>
      <c r="I77" s="3" t="s">
        <v>69</v>
      </c>
      <c r="J77" s="6" t="str">
        <f>IF(B69="","",VLOOKUP(B69,'Scoring Backend'!$A$12:$E$14,2,FALSE)+SUM(G73:G76))</f>
        <v/>
      </c>
    </row>
    <row r="78" spans="1:10" ht="16">
      <c r="A78" s="1"/>
      <c r="B78" s="1"/>
      <c r="C78" s="1"/>
      <c r="D78" s="1"/>
      <c r="E78" s="1"/>
      <c r="F78" s="1"/>
      <c r="G78" s="1"/>
      <c r="H78" s="1"/>
      <c r="I78" s="3" t="s">
        <v>79</v>
      </c>
      <c r="J78" s="6" t="str">
        <f>IF(B69="","",MIN(100,'Scoring Backend'!$B$22+VLOOKUP(B69,'Scoring Backend'!$A$12:$E$14,3,FALSE)+SUMPRODUCT($D$73:$D$76,$B$73:$B$76)))</f>
        <v/>
      </c>
    </row>
    <row r="79" spans="1:10" ht="16">
      <c r="A79" s="1"/>
      <c r="B79" s="1"/>
      <c r="C79" s="1"/>
      <c r="D79" s="1"/>
      <c r="E79" s="1"/>
      <c r="F79" s="1"/>
      <c r="G79" s="1"/>
      <c r="H79" s="1"/>
      <c r="I79" s="3" t="s">
        <v>80</v>
      </c>
      <c r="J79" s="6" t="str">
        <f>IF(B69="","",MIN(100,'Scoring Backend'!$B$23+VLOOKUP(B69,'Scoring Backend'!$A$12:$E$14,4,FALSE)+SUMPRODUCT($E$73:$E$76,$B$73:$B$76)))</f>
        <v/>
      </c>
    </row>
    <row r="80" spans="1:10" ht="16">
      <c r="A80" s="1"/>
      <c r="B80" s="1"/>
      <c r="C80" s="1"/>
      <c r="D80" s="1"/>
      <c r="E80" s="1"/>
      <c r="F80" s="1"/>
      <c r="G80" s="1"/>
      <c r="H80" s="1"/>
      <c r="I80" s="3" t="s">
        <v>81</v>
      </c>
      <c r="J80" s="6" t="str">
        <f>IF(B69="","",MIN(100,'Scoring Backend'!$B$24+VLOOKUP(B69,'Scoring Backend'!$A$12:$E$14,5,FALSE)+SUMPRODUCT($F$73:$F$76,$B$73:$B$76)))</f>
        <v/>
      </c>
    </row>
    <row r="81" spans="1:10" ht="16">
      <c r="A81" s="1"/>
      <c r="B81" s="1"/>
      <c r="C81" s="1"/>
      <c r="D81" s="1"/>
      <c r="E81" s="1"/>
      <c r="F81" s="1"/>
      <c r="G81" s="1"/>
      <c r="H81" s="1"/>
      <c r="I81" s="3" t="s">
        <v>85</v>
      </c>
      <c r="J81" s="6" t="str">
        <f>IF(B69="","",SUMPRODUCT(J78:J80,'Scoring Backend'!$I$18:$I$20))</f>
        <v/>
      </c>
    </row>
    <row r="82" spans="1:10" ht="16">
      <c r="A82" s="1"/>
      <c r="B82" s="1"/>
      <c r="C82" s="1"/>
      <c r="D82" s="1"/>
      <c r="E82" s="1"/>
      <c r="F82" s="1"/>
      <c r="G82" s="1"/>
      <c r="H82" s="1"/>
      <c r="I82" s="3" t="s">
        <v>101</v>
      </c>
      <c r="J82" s="6" t="str">
        <f>IF(B69="","",MAX(0,J77-'Scoring Backend'!$G$18))</f>
        <v/>
      </c>
    </row>
    <row r="83" spans="1:10" ht="16">
      <c r="A83" s="1"/>
      <c r="B83" s="1"/>
      <c r="C83" s="1"/>
      <c r="D83" s="1"/>
      <c r="E83" s="1"/>
      <c r="F83" s="1"/>
      <c r="G83" s="1"/>
      <c r="H83" s="1"/>
      <c r="I83" s="3" t="s">
        <v>91</v>
      </c>
      <c r="J83" s="6" t="str">
        <f>IF(B69="","",MAX(0,'Scoring Backend'!$G$19-J79))</f>
        <v/>
      </c>
    </row>
    <row r="84" spans="1:10" ht="16">
      <c r="A84" s="1"/>
      <c r="B84" s="1"/>
      <c r="C84" s="1"/>
      <c r="D84" s="1"/>
      <c r="E84" s="1"/>
      <c r="F84" s="1"/>
      <c r="G84" s="1"/>
      <c r="H84" s="1"/>
      <c r="I84" s="3" t="s">
        <v>102</v>
      </c>
      <c r="J84" s="6" t="str">
        <f>IF(B69="","",J81-J82-J83)</f>
        <v/>
      </c>
    </row>
    <row r="85" spans="1:10">
      <c r="A85" s="1"/>
      <c r="B85" s="1"/>
      <c r="C85" s="1"/>
      <c r="D85" s="1"/>
      <c r="E85" s="1"/>
      <c r="F85" s="1"/>
      <c r="G85" s="1"/>
      <c r="H85" s="1"/>
      <c r="I85" s="1"/>
      <c r="J85" s="1"/>
    </row>
    <row r="86" spans="1:10">
      <c r="A86" s="1"/>
      <c r="B86" s="1"/>
      <c r="C86" s="1"/>
      <c r="D86" s="1"/>
      <c r="E86" s="1"/>
      <c r="F86" s="1"/>
      <c r="G86" s="1"/>
      <c r="H86" s="1"/>
      <c r="I86" s="1"/>
      <c r="J86" s="1"/>
    </row>
    <row r="87" spans="1:10" ht="16">
      <c r="A87" s="1"/>
      <c r="B87" s="1"/>
      <c r="C87" s="1"/>
      <c r="D87" s="1"/>
      <c r="E87" s="1"/>
      <c r="F87" s="1"/>
      <c r="G87" s="1"/>
      <c r="H87" s="1"/>
      <c r="I87" s="2" t="s">
        <v>103</v>
      </c>
      <c r="J87" s="2" t="s">
        <v>104</v>
      </c>
    </row>
    <row r="88" spans="1:10" ht="16">
      <c r="A88" s="1"/>
      <c r="B88" s="1"/>
      <c r="C88" s="1"/>
      <c r="D88" s="1"/>
      <c r="E88" s="1"/>
      <c r="F88" s="1"/>
      <c r="G88" s="1"/>
      <c r="H88" s="1"/>
      <c r="I88" s="3" t="s">
        <v>105</v>
      </c>
      <c r="J88" s="6" t="str">
        <f>IF(J77="","",IF(J77&lt;='Scoring Backend'!$G$18,"PASS","PENALTY"))</f>
        <v/>
      </c>
    </row>
    <row r="89" spans="1:10" ht="16">
      <c r="A89" s="1"/>
      <c r="B89" s="1"/>
      <c r="C89" s="1"/>
      <c r="D89" s="1"/>
      <c r="E89" s="1"/>
      <c r="F89" s="1"/>
      <c r="G89" s="1"/>
      <c r="H89" s="1"/>
      <c r="I89" s="3" t="s">
        <v>106</v>
      </c>
      <c r="J89" s="6" t="str">
        <f>IF(J79="","",IF(J79&gt;='Scoring Backend'!$G$19,"PASS","PENALTY"))</f>
        <v/>
      </c>
    </row>
    <row r="90" spans="1:10" ht="16">
      <c r="A90" s="1"/>
      <c r="B90" s="1"/>
      <c r="C90" s="1"/>
      <c r="D90" s="1"/>
      <c r="E90" s="1"/>
      <c r="F90" s="1"/>
      <c r="G90" s="1"/>
      <c r="H90" s="1"/>
      <c r="I90" s="3" t="s">
        <v>107</v>
      </c>
      <c r="J90" s="6" t="str">
        <f>IF(J75="","",J75)</f>
        <v/>
      </c>
    </row>
    <row r="91" spans="1:10" ht="16">
      <c r="A91" s="1"/>
      <c r="B91" s="1"/>
      <c r="C91" s="1"/>
      <c r="D91" s="1"/>
      <c r="E91" s="1"/>
      <c r="F91" s="1"/>
      <c r="G91" s="1"/>
      <c r="H91" s="1"/>
      <c r="I91" s="3" t="s">
        <v>108</v>
      </c>
      <c r="J91" s="6" t="str">
        <f>IF(J76="","",J76)</f>
        <v/>
      </c>
    </row>
    <row r="92" spans="1:10" ht="16">
      <c r="A92" s="1"/>
      <c r="B92" s="1"/>
      <c r="C92" s="1"/>
      <c r="D92" s="1"/>
      <c r="E92" s="1"/>
      <c r="F92" s="1"/>
      <c r="G92" s="1"/>
      <c r="H92" s="1"/>
      <c r="I92" s="8" t="s">
        <v>109</v>
      </c>
      <c r="J92" s="9" t="str">
        <f>IF(OR(B69="",COUNT(B73:B76)=0,J73="",J73=0),"",IF(B69="Human-Led",IF(((B74*'Scoring Backend'!$C$6+B75*'Scoring Backend'!$C$7+B76*'Scoring Backend'!$C$8)/J73)&lt;='Scoring Backend'!$G$22,"PASS","MISMATCH"),IF(B69="Collaborative",IF(AND(((B74*'Scoring Backend'!$C$6+B75*'Scoring Backend'!$C$7+B76*'Scoring Backend'!$C$8)/J73)&gt;='Scoring Backend'!$G$23,((B74*'Scoring Backend'!$C$6+B75*'Scoring Backend'!$C$7+B76*'Scoring Backend'!$C$8)/J73)&lt;='Scoring Backend'!$G$24),"PASS","MISMATCH"),IF(B69="Robot-Led",IF(((B74*'Scoring Backend'!$C$6+B75*'Scoring Backend'!$C$7+B76*'Scoring Backend'!$C$8)/J73)&gt;='Scoring Backend'!$G$25,"PASS","MISMATCH"),""))))</f>
        <v/>
      </c>
    </row>
    <row r="93" spans="1:10">
      <c r="A93" s="1"/>
      <c r="B93" s="1"/>
      <c r="C93" s="1"/>
      <c r="D93" s="1"/>
      <c r="E93" s="1"/>
      <c r="F93" s="1"/>
      <c r="G93" s="1"/>
      <c r="H93" s="1"/>
      <c r="I93" s="1"/>
      <c r="J93" s="1"/>
    </row>
    <row r="94" spans="1:10" ht="16">
      <c r="A94" s="20" t="s">
        <v>110</v>
      </c>
      <c r="B94" s="16"/>
      <c r="C94" s="16"/>
      <c r="D94" s="16"/>
      <c r="E94" s="16"/>
      <c r="F94" s="16"/>
      <c r="G94" s="16"/>
      <c r="H94" s="16"/>
      <c r="I94" s="16"/>
      <c r="J94" s="16"/>
    </row>
    <row r="95" spans="1:10" ht="16">
      <c r="A95" s="2" t="s">
        <v>111</v>
      </c>
      <c r="B95" s="2" t="s">
        <v>112</v>
      </c>
      <c r="C95" s="1"/>
      <c r="D95" s="1"/>
      <c r="E95" s="1"/>
      <c r="F95" s="1"/>
      <c r="G95" s="1"/>
      <c r="H95" s="1"/>
      <c r="I95" s="1"/>
      <c r="J95" s="1"/>
    </row>
    <row r="96" spans="1:10" ht="32">
      <c r="A96" s="3" t="s">
        <v>113</v>
      </c>
      <c r="B96" s="3" t="s">
        <v>75</v>
      </c>
      <c r="C96" s="1"/>
      <c r="D96" s="1"/>
      <c r="E96" s="1"/>
      <c r="F96" s="1"/>
      <c r="G96" s="1"/>
      <c r="H96" s="1"/>
      <c r="I96" s="1"/>
      <c r="J96" s="1"/>
    </row>
    <row r="97" spans="1:10" ht="32">
      <c r="A97" s="3" t="s">
        <v>114</v>
      </c>
      <c r="B97" s="3" t="s">
        <v>115</v>
      </c>
      <c r="C97" s="1"/>
      <c r="D97" s="1"/>
      <c r="E97" s="1"/>
      <c r="F97" s="1"/>
      <c r="G97" s="1"/>
      <c r="H97" s="1"/>
      <c r="I97" s="1"/>
      <c r="J97" s="1"/>
    </row>
    <row r="98" spans="1:10" ht="32">
      <c r="A98" s="3" t="s">
        <v>116</v>
      </c>
      <c r="B98" s="3" t="s">
        <v>117</v>
      </c>
      <c r="C98" s="1"/>
      <c r="D98" s="1"/>
      <c r="E98" s="1"/>
      <c r="F98" s="1"/>
      <c r="G98" s="1"/>
      <c r="H98" s="1"/>
      <c r="I98" s="1"/>
      <c r="J98" s="1"/>
    </row>
    <row r="99" spans="1:10">
      <c r="A99" s="1"/>
      <c r="B99" s="1"/>
      <c r="C99" s="1"/>
      <c r="D99" s="1"/>
      <c r="E99" s="1"/>
      <c r="F99" s="1"/>
      <c r="G99" s="1"/>
      <c r="H99" s="1"/>
      <c r="I99" s="1"/>
      <c r="J99" s="1"/>
    </row>
    <row r="100" spans="1:10">
      <c r="A100" s="1"/>
      <c r="B100" s="1"/>
      <c r="C100" s="1"/>
      <c r="D100" s="1"/>
      <c r="E100" s="1"/>
      <c r="F100" s="1"/>
      <c r="G100" s="1"/>
      <c r="H100" s="1"/>
      <c r="I100" s="1"/>
      <c r="J100" s="1"/>
    </row>
    <row r="101" spans="1:10" ht="16">
      <c r="A101" s="20" t="s">
        <v>118</v>
      </c>
      <c r="B101" s="16"/>
      <c r="C101" s="16"/>
      <c r="D101" s="16"/>
      <c r="E101" s="16"/>
      <c r="F101" s="16"/>
      <c r="G101" s="16"/>
      <c r="H101" s="16"/>
      <c r="I101" s="16"/>
      <c r="J101" s="16"/>
    </row>
    <row r="102" spans="1:10" ht="16">
      <c r="A102" s="2" t="s">
        <v>119</v>
      </c>
      <c r="B102" s="2" t="s">
        <v>120</v>
      </c>
      <c r="C102" s="1"/>
      <c r="D102" s="1"/>
      <c r="E102" s="1"/>
      <c r="F102" s="1"/>
      <c r="G102" s="1"/>
      <c r="H102" s="1"/>
      <c r="I102" s="1"/>
      <c r="J102" s="1"/>
    </row>
    <row r="103" spans="1:10" ht="32">
      <c r="A103" s="3" t="s">
        <v>121</v>
      </c>
      <c r="B103" s="4"/>
      <c r="C103" s="1"/>
      <c r="D103" s="1"/>
      <c r="E103" s="1"/>
      <c r="F103" s="1"/>
      <c r="G103" s="1"/>
      <c r="H103" s="1"/>
      <c r="I103" s="1"/>
      <c r="J103" s="1"/>
    </row>
    <row r="104" spans="1:10" ht="16">
      <c r="A104" s="3" t="s">
        <v>122</v>
      </c>
      <c r="B104" s="4"/>
      <c r="C104" s="1"/>
      <c r="D104" s="1"/>
      <c r="E104" s="1"/>
      <c r="F104" s="1"/>
      <c r="G104" s="1"/>
      <c r="H104" s="1"/>
      <c r="I104" s="1"/>
      <c r="J104" s="1"/>
    </row>
    <row r="105" spans="1:10" ht="32">
      <c r="A105" s="3" t="s">
        <v>123</v>
      </c>
      <c r="B105" s="4"/>
      <c r="C105" s="1"/>
      <c r="D105" s="1"/>
      <c r="E105" s="1"/>
      <c r="F105" s="1"/>
      <c r="G105" s="1"/>
      <c r="H105" s="1"/>
      <c r="I105" s="1"/>
      <c r="J105" s="1"/>
    </row>
    <row r="106" spans="1:10" ht="42" customHeight="1">
      <c r="A106" s="3" t="s">
        <v>124</v>
      </c>
      <c r="B106" s="4"/>
      <c r="C106" s="1"/>
      <c r="D106" s="1"/>
      <c r="E106" s="1"/>
      <c r="F106" s="1"/>
      <c r="G106" s="1"/>
      <c r="H106" s="1"/>
      <c r="I106" s="1"/>
      <c r="J106" s="1"/>
    </row>
    <row r="107" spans="1:10">
      <c r="A107" s="1"/>
      <c r="B107" s="1"/>
      <c r="C107" s="1"/>
      <c r="D107" s="1"/>
      <c r="E107" s="1"/>
      <c r="F107" s="1"/>
      <c r="G107" s="1"/>
      <c r="H107" s="1"/>
      <c r="I107" s="1"/>
      <c r="J107" s="1"/>
    </row>
    <row r="108" spans="1:10">
      <c r="A108" s="1"/>
      <c r="B108" s="1"/>
      <c r="C108" s="1"/>
      <c r="D108" s="1"/>
      <c r="E108" s="1"/>
      <c r="F108" s="1"/>
      <c r="G108" s="1"/>
      <c r="H108" s="1"/>
      <c r="I108" s="1"/>
      <c r="J108" s="1"/>
    </row>
    <row r="109" spans="1:10">
      <c r="A109" s="22" t="s">
        <v>125</v>
      </c>
      <c r="B109" s="16"/>
      <c r="C109" s="16"/>
      <c r="D109" s="16"/>
      <c r="E109" s="16"/>
      <c r="F109" s="16"/>
      <c r="G109" s="16"/>
      <c r="H109" s="16"/>
      <c r="I109" s="16"/>
      <c r="J109" s="16"/>
    </row>
    <row r="110" spans="1:10">
      <c r="A110" s="16"/>
      <c r="B110" s="16"/>
      <c r="C110" s="16"/>
      <c r="D110" s="16"/>
      <c r="E110" s="16"/>
      <c r="F110" s="16"/>
      <c r="G110" s="16"/>
      <c r="H110" s="16"/>
      <c r="I110" s="16"/>
      <c r="J110" s="16"/>
    </row>
  </sheetData>
  <mergeCells count="19">
    <mergeCell ref="A94:J94"/>
    <mergeCell ref="A1:J1"/>
    <mergeCell ref="A109:J110"/>
    <mergeCell ref="B55:C55"/>
    <mergeCell ref="B69:E69"/>
    <mergeCell ref="A101:J101"/>
    <mergeCell ref="A2:J2"/>
    <mergeCell ref="B54:C54"/>
    <mergeCell ref="A4:J4"/>
    <mergeCell ref="A60:J63"/>
    <mergeCell ref="A41:J42"/>
    <mergeCell ref="A40:J40"/>
    <mergeCell ref="A30:J30"/>
    <mergeCell ref="A59:J59"/>
    <mergeCell ref="A17:F17"/>
    <mergeCell ref="A12:J15"/>
    <mergeCell ref="A24:J24"/>
    <mergeCell ref="B53:C53"/>
    <mergeCell ref="A11:J11"/>
  </mergeCells>
  <dataValidations count="5">
    <dataValidation type="whole" sqref="B45:B48 B73:B76" xr:uid="{00000000-0002-0000-0200-000000000000}">
      <formula1>0</formula1>
      <formula2>20</formula2>
    </dataValidation>
    <dataValidation type="list" sqref="B69" xr:uid="{00000000-0002-0000-0200-000001000000}">
      <formula1>"Human-Led,Collaborative,Robot-Led"</formula1>
    </dataValidation>
    <dataValidation type="list" sqref="B103" xr:uid="{00000000-0002-0000-0200-000003000000}">
      <formula1>"Architecture Lead,Robot Engineer,Cost Manager"</formula1>
    </dataValidation>
    <dataValidation type="list" sqref="B104" xr:uid="{00000000-0002-0000-0200-000004000000}">
      <formula1>"Cost vs Productivity,Cost vs Safety,Cost vs Manual Effort Reduction,Productivity vs Safety,Productivity vs Manual Effort Reduction,Safety vs Manual Effort Reduction"</formula1>
    </dataValidation>
    <dataValidation type="list" sqref="B105" xr:uid="{00000000-0002-0000-0200-000005000000}">
      <formula1>"More Robots,Fewer Robots,Improved Productivity,Improved Safety,Improved Manual Effort Reduction,Lower Cost,No Major Change"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0"/>
  <sheetViews>
    <sheetView showGridLines="0" workbookViewId="0"/>
  </sheetViews>
  <sheetFormatPr baseColWidth="10" defaultColWidth="8.83203125" defaultRowHeight="15"/>
  <cols>
    <col min="1" max="1" width="34" customWidth="1"/>
    <col min="2" max="2" width="24" customWidth="1"/>
    <col min="3" max="3" width="42" customWidth="1"/>
    <col min="4" max="4" width="25" customWidth="1"/>
    <col min="5" max="5" width="18" customWidth="1"/>
    <col min="6" max="6" width="38" customWidth="1"/>
    <col min="7" max="7" width="19" customWidth="1"/>
    <col min="8" max="8" width="4" customWidth="1"/>
    <col min="9" max="9" width="38" customWidth="1"/>
    <col min="10" max="10" width="20" customWidth="1"/>
  </cols>
  <sheetData>
    <row r="1" spans="1:10" ht="24">
      <c r="A1" s="21" t="s">
        <v>0</v>
      </c>
      <c r="B1" s="16"/>
      <c r="C1" s="16"/>
      <c r="D1" s="16"/>
      <c r="E1" s="16"/>
      <c r="F1" s="16"/>
      <c r="G1" s="16"/>
      <c r="H1" s="16"/>
      <c r="I1" s="16"/>
      <c r="J1" s="16"/>
    </row>
    <row r="2" spans="1:10" ht="18">
      <c r="A2" s="23" t="s">
        <v>1</v>
      </c>
      <c r="B2" s="16"/>
      <c r="C2" s="16"/>
      <c r="D2" s="16"/>
      <c r="E2" s="16"/>
      <c r="F2" s="16"/>
      <c r="G2" s="16"/>
      <c r="H2" s="16"/>
      <c r="I2" s="16"/>
      <c r="J2" s="16"/>
    </row>
    <row r="3" spans="1:10">
      <c r="A3" s="1"/>
      <c r="B3" s="1"/>
      <c r="C3" s="1"/>
      <c r="D3" s="1"/>
      <c r="E3" s="1"/>
      <c r="F3" s="1"/>
      <c r="G3" s="1"/>
      <c r="H3" s="1"/>
      <c r="I3" s="1"/>
      <c r="J3" s="1"/>
    </row>
    <row r="4" spans="1:10" ht="18">
      <c r="A4" s="17" t="s">
        <v>171</v>
      </c>
      <c r="B4" s="16"/>
      <c r="C4" s="16"/>
      <c r="D4" s="16"/>
      <c r="E4" s="16"/>
      <c r="F4" s="16"/>
      <c r="G4" s="16"/>
      <c r="H4" s="16"/>
      <c r="I4" s="16"/>
      <c r="J4" s="16"/>
    </row>
    <row r="5" spans="1:10">
      <c r="A5" s="1"/>
      <c r="B5" s="1"/>
      <c r="C5" s="1"/>
      <c r="D5" s="1"/>
      <c r="E5" s="1"/>
      <c r="F5" s="1"/>
      <c r="G5" s="1"/>
      <c r="H5" s="1"/>
      <c r="I5" s="1"/>
      <c r="J5" s="1"/>
    </row>
    <row r="6" spans="1:10">
      <c r="A6" s="1" t="s">
        <v>3</v>
      </c>
      <c r="B6" s="5" t="s">
        <v>172</v>
      </c>
      <c r="C6" s="1"/>
      <c r="D6" s="1"/>
      <c r="E6" s="1"/>
      <c r="F6" s="1"/>
      <c r="G6" s="1"/>
      <c r="H6" s="1"/>
      <c r="I6" s="1"/>
      <c r="J6" s="1"/>
    </row>
    <row r="7" spans="1:10">
      <c r="A7" s="1" t="s">
        <v>5</v>
      </c>
      <c r="B7" s="5"/>
      <c r="C7" s="1"/>
      <c r="D7" s="1"/>
      <c r="E7" s="1"/>
      <c r="F7" s="1"/>
      <c r="G7" s="1"/>
      <c r="H7" s="1"/>
      <c r="I7" s="1"/>
      <c r="J7" s="1"/>
    </row>
    <row r="8" spans="1:10">
      <c r="A8" s="1" t="s">
        <v>6</v>
      </c>
      <c r="B8" s="5"/>
      <c r="C8" s="1"/>
      <c r="D8" s="1"/>
      <c r="E8" s="1"/>
      <c r="F8" s="1"/>
      <c r="G8" s="1"/>
      <c r="H8" s="1"/>
      <c r="I8" s="1"/>
      <c r="J8" s="1"/>
    </row>
    <row r="9" spans="1:10">
      <c r="A9" s="1" t="s">
        <v>7</v>
      </c>
      <c r="B9" s="5"/>
      <c r="C9" s="1"/>
      <c r="D9" s="1"/>
      <c r="E9" s="1"/>
      <c r="F9" s="1"/>
      <c r="G9" s="1"/>
      <c r="H9" s="1"/>
      <c r="I9" s="1"/>
      <c r="J9" s="1"/>
    </row>
    <row r="10" spans="1:10">
      <c r="A10" s="1"/>
      <c r="B10" s="1"/>
      <c r="C10" s="1"/>
      <c r="D10" s="1"/>
      <c r="E10" s="1"/>
      <c r="F10" s="1"/>
      <c r="G10" s="1"/>
      <c r="H10" s="1"/>
      <c r="I10" s="1"/>
      <c r="J10" s="1"/>
    </row>
    <row r="11" spans="1:10" ht="16">
      <c r="A11" s="20" t="s">
        <v>8</v>
      </c>
      <c r="B11" s="16"/>
      <c r="C11" s="16"/>
      <c r="D11" s="16"/>
      <c r="E11" s="16"/>
      <c r="F11" s="16"/>
      <c r="G11" s="16"/>
      <c r="H11" s="16"/>
      <c r="I11" s="16"/>
      <c r="J11" s="16"/>
    </row>
    <row r="12" spans="1:10" ht="24" customHeight="1">
      <c r="A12" s="18" t="s">
        <v>9</v>
      </c>
      <c r="B12" s="16"/>
      <c r="C12" s="16"/>
      <c r="D12" s="16"/>
      <c r="E12" s="16"/>
      <c r="F12" s="16"/>
      <c r="G12" s="16"/>
      <c r="H12" s="16"/>
      <c r="I12" s="16"/>
      <c r="J12" s="16"/>
    </row>
    <row r="13" spans="1:10" ht="24" customHeight="1">
      <c r="A13" s="16"/>
      <c r="B13" s="16"/>
      <c r="C13" s="16"/>
      <c r="D13" s="16"/>
      <c r="E13" s="16"/>
      <c r="F13" s="16"/>
      <c r="G13" s="16"/>
      <c r="H13" s="16"/>
      <c r="I13" s="16"/>
      <c r="J13" s="16"/>
    </row>
    <row r="14" spans="1:10" ht="24" customHeight="1">
      <c r="A14" s="16"/>
      <c r="B14" s="16"/>
      <c r="C14" s="16"/>
      <c r="D14" s="16"/>
      <c r="E14" s="16"/>
      <c r="F14" s="16"/>
      <c r="G14" s="16"/>
      <c r="H14" s="16"/>
      <c r="I14" s="16"/>
      <c r="J14" s="16"/>
    </row>
    <row r="15" spans="1:10" ht="24" customHeight="1">
      <c r="A15" s="16"/>
      <c r="B15" s="16"/>
      <c r="C15" s="16"/>
      <c r="D15" s="16"/>
      <c r="E15" s="16"/>
      <c r="F15" s="16"/>
      <c r="G15" s="16"/>
      <c r="H15" s="16"/>
      <c r="I15" s="16"/>
      <c r="J15" s="16"/>
    </row>
    <row r="16" spans="1:10">
      <c r="A16" s="1"/>
      <c r="B16" s="1"/>
      <c r="C16" s="1"/>
      <c r="D16" s="1"/>
      <c r="E16" s="1"/>
      <c r="F16" s="1"/>
      <c r="G16" s="1"/>
      <c r="H16" s="1"/>
      <c r="I16" s="1"/>
      <c r="J16" s="1"/>
    </row>
    <row r="17" spans="1:10" ht="16">
      <c r="A17" s="20" t="s">
        <v>10</v>
      </c>
      <c r="B17" s="16"/>
      <c r="C17" s="16"/>
      <c r="D17" s="16"/>
      <c r="E17" s="16"/>
      <c r="F17" s="16"/>
      <c r="G17" s="1"/>
      <c r="H17" s="1"/>
      <c r="I17" s="1"/>
      <c r="J17" s="1"/>
    </row>
    <row r="18" spans="1:10" ht="16">
      <c r="A18" s="2" t="s">
        <v>11</v>
      </c>
      <c r="B18" s="2" t="s">
        <v>12</v>
      </c>
      <c r="C18" s="1"/>
      <c r="D18" s="1"/>
      <c r="E18" s="1"/>
      <c r="F18" s="1"/>
      <c r="G18" s="1"/>
      <c r="H18" s="1"/>
      <c r="I18" s="1"/>
      <c r="J18" s="1"/>
    </row>
    <row r="19" spans="1:10" ht="16">
      <c r="A19" s="3" t="s">
        <v>13</v>
      </c>
      <c r="B19" s="3" t="s">
        <v>14</v>
      </c>
      <c r="C19" s="1"/>
      <c r="D19" s="1"/>
      <c r="E19" s="1"/>
      <c r="F19" s="1"/>
      <c r="G19" s="1"/>
      <c r="H19" s="1"/>
      <c r="I19" s="1"/>
      <c r="J19" s="1"/>
    </row>
    <row r="20" spans="1:10" ht="16">
      <c r="A20" s="3" t="s">
        <v>15</v>
      </c>
      <c r="B20" s="3" t="s">
        <v>16</v>
      </c>
      <c r="C20" s="1"/>
      <c r="D20" s="1"/>
      <c r="E20" s="1"/>
      <c r="F20" s="1"/>
      <c r="G20" s="1"/>
      <c r="H20" s="1"/>
      <c r="I20" s="1"/>
      <c r="J20" s="1"/>
    </row>
    <row r="21" spans="1:10" ht="16">
      <c r="A21" s="3" t="s">
        <v>17</v>
      </c>
      <c r="B21" s="3" t="s">
        <v>18</v>
      </c>
      <c r="C21" s="1"/>
      <c r="D21" s="1"/>
      <c r="E21" s="1"/>
      <c r="F21" s="1"/>
      <c r="G21" s="1"/>
      <c r="H21" s="1"/>
      <c r="I21" s="1"/>
      <c r="J21" s="1"/>
    </row>
    <row r="22" spans="1:10" ht="16">
      <c r="A22" s="3" t="s">
        <v>19</v>
      </c>
      <c r="B22" s="3" t="s">
        <v>20</v>
      </c>
      <c r="C22" s="1"/>
      <c r="D22" s="1"/>
      <c r="E22" s="1"/>
      <c r="F22" s="1"/>
      <c r="G22" s="1"/>
      <c r="H22" s="1"/>
      <c r="I22" s="1"/>
      <c r="J22" s="1"/>
    </row>
    <row r="23" spans="1:10">
      <c r="A23" s="1"/>
      <c r="B23" s="1"/>
      <c r="C23" s="1"/>
      <c r="D23" s="1"/>
      <c r="E23" s="1"/>
      <c r="F23" s="1"/>
      <c r="G23" s="1"/>
      <c r="H23" s="1"/>
      <c r="I23" s="1"/>
      <c r="J23" s="1"/>
    </row>
    <row r="24" spans="1:10" ht="16">
      <c r="A24" s="20" t="s">
        <v>21</v>
      </c>
      <c r="B24" s="16"/>
      <c r="C24" s="16"/>
      <c r="D24" s="16"/>
      <c r="E24" s="16"/>
      <c r="F24" s="16"/>
      <c r="G24" s="16"/>
      <c r="H24" s="16"/>
      <c r="I24" s="16"/>
      <c r="J24" s="16"/>
    </row>
    <row r="25" spans="1:10" ht="16">
      <c r="A25" s="2" t="s">
        <v>22</v>
      </c>
      <c r="B25" s="2" t="s">
        <v>23</v>
      </c>
      <c r="C25" s="2" t="s">
        <v>24</v>
      </c>
      <c r="D25" s="1"/>
      <c r="E25" s="1"/>
      <c r="F25" s="1"/>
      <c r="G25" s="1"/>
      <c r="H25" s="1"/>
      <c r="I25" s="1"/>
      <c r="J25" s="1"/>
    </row>
    <row r="26" spans="1:10" ht="34" customHeight="1">
      <c r="A26" s="3" t="s">
        <v>5</v>
      </c>
      <c r="B26" s="3" t="s">
        <v>25</v>
      </c>
      <c r="C26" s="3" t="s">
        <v>26</v>
      </c>
      <c r="D26" s="1"/>
      <c r="E26" s="1"/>
      <c r="F26" s="1"/>
      <c r="G26" s="1"/>
      <c r="H26" s="1"/>
      <c r="I26" s="1"/>
      <c r="J26" s="1"/>
    </row>
    <row r="27" spans="1:10" ht="34" customHeight="1">
      <c r="A27" s="3" t="s">
        <v>6</v>
      </c>
      <c r="B27" s="3" t="s">
        <v>27</v>
      </c>
      <c r="C27" s="3" t="s">
        <v>28</v>
      </c>
      <c r="D27" s="1"/>
      <c r="E27" s="1"/>
      <c r="F27" s="1"/>
      <c r="G27" s="1"/>
      <c r="H27" s="1"/>
      <c r="I27" s="1"/>
      <c r="J27" s="1"/>
    </row>
    <row r="28" spans="1:10" ht="34" customHeight="1">
      <c r="A28" s="3" t="s">
        <v>7</v>
      </c>
      <c r="B28" s="3" t="s">
        <v>29</v>
      </c>
      <c r="C28" s="3" t="s">
        <v>30</v>
      </c>
      <c r="D28" s="1"/>
      <c r="E28" s="1"/>
      <c r="F28" s="1"/>
      <c r="G28" s="1"/>
      <c r="H28" s="1"/>
      <c r="I28" s="1"/>
      <c r="J28" s="1"/>
    </row>
    <row r="29" spans="1:10">
      <c r="A29" s="1"/>
      <c r="B29" s="1"/>
      <c r="C29" s="1"/>
      <c r="D29" s="1"/>
      <c r="E29" s="1"/>
      <c r="F29" s="1"/>
      <c r="G29" s="1"/>
      <c r="H29" s="1"/>
      <c r="I29" s="1"/>
      <c r="J29" s="1"/>
    </row>
    <row r="30" spans="1:10" ht="16">
      <c r="A30" s="20" t="s">
        <v>31</v>
      </c>
      <c r="B30" s="16"/>
      <c r="C30" s="16"/>
      <c r="D30" s="16"/>
      <c r="E30" s="16"/>
      <c r="F30" s="16"/>
      <c r="G30" s="16"/>
      <c r="H30" s="16"/>
      <c r="I30" s="16"/>
      <c r="J30" s="16"/>
    </row>
    <row r="31" spans="1:10" ht="16">
      <c r="A31" s="2" t="s">
        <v>32</v>
      </c>
      <c r="B31" s="2" t="s">
        <v>33</v>
      </c>
      <c r="C31" s="2" t="s">
        <v>34</v>
      </c>
      <c r="D31" s="2" t="s">
        <v>35</v>
      </c>
      <c r="E31" s="1"/>
      <c r="F31" s="1"/>
      <c r="G31" s="1"/>
      <c r="H31" s="1"/>
      <c r="I31" s="1"/>
      <c r="J31" s="1"/>
    </row>
    <row r="32" spans="1:10" ht="48">
      <c r="A32" s="3" t="s">
        <v>36</v>
      </c>
      <c r="B32" s="3">
        <v>10</v>
      </c>
      <c r="C32" s="3" t="s">
        <v>37</v>
      </c>
      <c r="D32" s="3" t="s">
        <v>38</v>
      </c>
      <c r="E32" s="1"/>
      <c r="F32" s="1"/>
      <c r="G32" s="1"/>
      <c r="H32" s="1"/>
      <c r="I32" s="1"/>
      <c r="J32" s="1"/>
    </row>
    <row r="33" spans="1:10">
      <c r="A33" s="3"/>
      <c r="B33" s="3"/>
      <c r="C33" s="3"/>
      <c r="D33" s="3"/>
      <c r="E33" s="1"/>
      <c r="F33" s="1"/>
      <c r="G33" s="1"/>
      <c r="H33" s="1"/>
      <c r="I33" s="1"/>
      <c r="J33" s="1"/>
    </row>
    <row r="34" spans="1:10">
      <c r="A34" s="1"/>
      <c r="B34" s="1"/>
      <c r="C34" s="1"/>
      <c r="D34" s="1"/>
      <c r="E34" s="1"/>
      <c r="F34" s="1"/>
      <c r="G34" s="1"/>
      <c r="H34" s="1"/>
      <c r="I34" s="1"/>
      <c r="J34" s="1"/>
    </row>
    <row r="35" spans="1:10" ht="32">
      <c r="A35" s="2" t="s">
        <v>39</v>
      </c>
      <c r="B35" s="2" t="s">
        <v>33</v>
      </c>
      <c r="C35" s="2" t="s">
        <v>34</v>
      </c>
      <c r="D35" s="2" t="s">
        <v>40</v>
      </c>
      <c r="E35" s="1"/>
      <c r="F35" s="1"/>
      <c r="G35" s="1"/>
      <c r="H35" s="1"/>
      <c r="I35" s="1"/>
      <c r="J35" s="1"/>
    </row>
    <row r="36" spans="1:10" ht="32">
      <c r="A36" s="3" t="s">
        <v>41</v>
      </c>
      <c r="B36" s="3">
        <v>20</v>
      </c>
      <c r="C36" s="3" t="s">
        <v>42</v>
      </c>
      <c r="D36" s="3" t="s">
        <v>43</v>
      </c>
      <c r="E36" s="1"/>
      <c r="F36" s="1"/>
      <c r="G36" s="1"/>
      <c r="H36" s="1"/>
      <c r="I36" s="1"/>
      <c r="J36" s="1"/>
    </row>
    <row r="37" spans="1:10" ht="32">
      <c r="A37" s="3" t="s">
        <v>44</v>
      </c>
      <c r="B37" s="3">
        <v>35</v>
      </c>
      <c r="C37" s="3" t="s">
        <v>45</v>
      </c>
      <c r="D37" s="3" t="s">
        <v>46</v>
      </c>
      <c r="E37" s="1"/>
      <c r="F37" s="1"/>
      <c r="G37" s="1"/>
      <c r="H37" s="1"/>
      <c r="I37" s="1"/>
      <c r="J37" s="1"/>
    </row>
    <row r="38" spans="1:10" ht="32">
      <c r="A38" s="3" t="s">
        <v>47</v>
      </c>
      <c r="B38" s="3">
        <v>60</v>
      </c>
      <c r="C38" s="3" t="s">
        <v>48</v>
      </c>
      <c r="D38" s="3" t="s">
        <v>49</v>
      </c>
      <c r="E38" s="1"/>
      <c r="F38" s="1"/>
      <c r="G38" s="1"/>
      <c r="H38" s="1"/>
      <c r="I38" s="1"/>
      <c r="J38" s="1"/>
    </row>
    <row r="39" spans="1:10">
      <c r="A39" s="1"/>
      <c r="B39" s="1"/>
      <c r="C39" s="1"/>
      <c r="D39" s="1"/>
      <c r="E39" s="1"/>
      <c r="F39" s="1"/>
      <c r="G39" s="1"/>
      <c r="H39" s="1"/>
      <c r="I39" s="1"/>
      <c r="J39" s="1"/>
    </row>
    <row r="40" spans="1:10" ht="16">
      <c r="A40" s="20" t="s">
        <v>50</v>
      </c>
      <c r="B40" s="16"/>
      <c r="C40" s="16"/>
      <c r="D40" s="16"/>
      <c r="E40" s="16"/>
      <c r="F40" s="16"/>
      <c r="G40" s="16"/>
      <c r="H40" s="16"/>
      <c r="I40" s="16"/>
      <c r="J40" s="16"/>
    </row>
    <row r="41" spans="1:10">
      <c r="A41" s="19" t="s">
        <v>51</v>
      </c>
      <c r="B41" s="16"/>
      <c r="C41" s="16"/>
      <c r="D41" s="16"/>
      <c r="E41" s="16"/>
      <c r="F41" s="16"/>
      <c r="G41" s="16"/>
      <c r="H41" s="16"/>
      <c r="I41" s="16"/>
      <c r="J41" s="16"/>
    </row>
    <row r="42" spans="1:10">
      <c r="A42" s="16"/>
      <c r="B42" s="16"/>
      <c r="C42" s="16"/>
      <c r="D42" s="16"/>
      <c r="E42" s="16"/>
      <c r="F42" s="16"/>
      <c r="G42" s="16"/>
      <c r="H42" s="16"/>
      <c r="I42" s="16"/>
      <c r="J42" s="16"/>
    </row>
    <row r="43" spans="1:10">
      <c r="A43" s="1"/>
      <c r="B43" s="1"/>
      <c r="C43" s="1"/>
      <c r="D43" s="1"/>
      <c r="E43" s="1"/>
      <c r="F43" s="1"/>
      <c r="G43" s="1"/>
      <c r="H43" s="1"/>
      <c r="I43" s="1"/>
      <c r="J43" s="1"/>
    </row>
    <row r="44" spans="1:10" ht="16">
      <c r="A44" s="2" t="s">
        <v>52</v>
      </c>
      <c r="B44" s="2" t="s">
        <v>53</v>
      </c>
      <c r="C44" s="2" t="s">
        <v>54</v>
      </c>
      <c r="D44" s="1"/>
      <c r="E44" s="1"/>
      <c r="F44" s="2" t="s">
        <v>55</v>
      </c>
      <c r="G44" s="2" t="s">
        <v>56</v>
      </c>
      <c r="H44" s="1"/>
      <c r="I44" s="1"/>
      <c r="J44" s="1"/>
    </row>
    <row r="45" spans="1:10" ht="16">
      <c r="A45" s="3" t="s">
        <v>57</v>
      </c>
      <c r="B45" s="4"/>
      <c r="C45" s="3" t="s">
        <v>58</v>
      </c>
      <c r="D45" s="1"/>
      <c r="E45" s="1"/>
      <c r="F45" s="3" t="s">
        <v>59</v>
      </c>
      <c r="G45" s="6" t="str">
        <f>IF(COUNT(B45:B48)=0,"",MAX(0,B45-G46)*'Scoring Backend'!$C$4+B46*'Scoring Backend'!$C$6+B47*'Scoring Backend'!$C$7+B48*'Scoring Backend'!$C$8)</f>
        <v/>
      </c>
      <c r="H45" s="1"/>
      <c r="I45" s="1"/>
      <c r="J45" s="1"/>
    </row>
    <row r="46" spans="1:10" ht="16">
      <c r="A46" s="3" t="s">
        <v>60</v>
      </c>
      <c r="B46" s="4"/>
      <c r="C46" s="3" t="s">
        <v>61</v>
      </c>
      <c r="D46" s="1"/>
      <c r="E46" s="1"/>
      <c r="F46" s="3" t="s">
        <v>62</v>
      </c>
      <c r="G46" s="6" t="str">
        <f>IF(COUNT(B45:B48)=0,"",B46*'Scoring Backend'!$G$4+B47*'Scoring Backend'!$G$5+B48*'Scoring Backend'!$G$6)</f>
        <v/>
      </c>
      <c r="H46" s="1"/>
      <c r="I46" s="1"/>
      <c r="J46" s="1"/>
    </row>
    <row r="47" spans="1:10" ht="16">
      <c r="A47" s="3" t="s">
        <v>63</v>
      </c>
      <c r="B47" s="4"/>
      <c r="C47" s="3" t="s">
        <v>64</v>
      </c>
      <c r="D47" s="1"/>
      <c r="E47" s="1"/>
      <c r="F47" s="3" t="s">
        <v>65</v>
      </c>
      <c r="G47" s="6" t="str">
        <f>IF(COUNT(B45:B48)=0,"",IF(B45&gt;=G46,"PASS","FAIL"))</f>
        <v/>
      </c>
      <c r="H47" s="1"/>
      <c r="I47" s="1"/>
      <c r="J47" s="1"/>
    </row>
    <row r="48" spans="1:10" ht="16">
      <c r="A48" s="3" t="s">
        <v>66</v>
      </c>
      <c r="B48" s="4"/>
      <c r="C48" s="3" t="s">
        <v>67</v>
      </c>
      <c r="D48" s="1"/>
      <c r="E48" s="1"/>
      <c r="F48" s="3" t="s">
        <v>68</v>
      </c>
      <c r="G48" s="6" t="str">
        <f>IF(COUNT(B45:B48)=0,"",IF(G45&gt;='Scoring Backend'!$B$20,"PASS","FAIL"))</f>
        <v/>
      </c>
      <c r="H48" s="1"/>
      <c r="I48" s="1"/>
      <c r="J48" s="1"/>
    </row>
    <row r="49" spans="1:10" ht="16">
      <c r="A49" s="1"/>
      <c r="B49" s="1"/>
      <c r="C49" s="1"/>
      <c r="D49" s="1"/>
      <c r="E49" s="1"/>
      <c r="F49" s="3" t="s">
        <v>69</v>
      </c>
      <c r="G49" s="6" t="str">
        <f>IF(COUNT(B45:B48)=0,"",B45*'Scoring Backend'!$B$4+B46*'Scoring Backend'!$B$6+B47*'Scoring Backend'!$B$7+B48*'Scoring Backend'!$B$8)</f>
        <v/>
      </c>
      <c r="H49" s="1"/>
      <c r="I49" s="1"/>
      <c r="J49" s="1"/>
    </row>
    <row r="50" spans="1:10">
      <c r="A50" s="1"/>
      <c r="B50" s="1"/>
      <c r="C50" s="1"/>
      <c r="D50" s="1"/>
      <c r="E50" s="1"/>
      <c r="F50" s="1"/>
      <c r="G50" s="1"/>
      <c r="H50" s="1"/>
      <c r="I50" s="1"/>
      <c r="J50" s="1"/>
    </row>
    <row r="51" spans="1:10">
      <c r="A51" s="1"/>
      <c r="B51" s="1"/>
      <c r="C51" s="1"/>
      <c r="D51" s="1"/>
      <c r="E51" s="1"/>
      <c r="F51" s="1"/>
      <c r="G51" s="1"/>
      <c r="H51" s="1"/>
      <c r="I51" s="1"/>
      <c r="J51" s="1"/>
    </row>
    <row r="52" spans="1:10" ht="16">
      <c r="A52" s="2" t="s">
        <v>70</v>
      </c>
      <c r="B52" s="2"/>
      <c r="C52" s="2"/>
      <c r="D52" s="1"/>
      <c r="E52" s="1"/>
      <c r="F52" s="1"/>
      <c r="G52" s="1"/>
      <c r="H52" s="1"/>
      <c r="I52" s="1"/>
      <c r="J52" s="1"/>
    </row>
    <row r="53" spans="1:10" ht="16">
      <c r="A53" s="3" t="s">
        <v>71</v>
      </c>
      <c r="B53" s="15"/>
      <c r="C53" s="16"/>
      <c r="D53" s="1"/>
      <c r="E53" s="1"/>
      <c r="F53" s="1"/>
      <c r="G53" s="1"/>
      <c r="H53" s="1"/>
      <c r="I53" s="1"/>
      <c r="J53" s="1"/>
    </row>
    <row r="54" spans="1:10" ht="32">
      <c r="A54" s="3" t="s">
        <v>72</v>
      </c>
      <c r="B54" s="15"/>
      <c r="C54" s="16"/>
      <c r="D54" s="1"/>
      <c r="E54" s="1"/>
      <c r="F54" s="1"/>
      <c r="G54" s="1"/>
      <c r="H54" s="1"/>
      <c r="I54" s="1"/>
      <c r="J54" s="1"/>
    </row>
    <row r="55" spans="1:10" ht="16">
      <c r="A55" s="3" t="s">
        <v>73</v>
      </c>
      <c r="B55" s="15"/>
      <c r="C55" s="16"/>
      <c r="D55" s="1"/>
      <c r="E55" s="1"/>
      <c r="F55" s="1"/>
      <c r="G55" s="1"/>
      <c r="H55" s="1"/>
      <c r="I55" s="1"/>
      <c r="J55" s="1"/>
    </row>
    <row r="56" spans="1:10" ht="32">
      <c r="A56" s="3" t="s">
        <v>74</v>
      </c>
      <c r="B56" s="3" t="s">
        <v>75</v>
      </c>
      <c r="C56" s="3"/>
      <c r="D56" s="1"/>
      <c r="E56" s="1"/>
      <c r="F56" s="1"/>
      <c r="G56" s="1"/>
      <c r="H56" s="1"/>
      <c r="I56" s="1"/>
      <c r="J56" s="1"/>
    </row>
    <row r="57" spans="1:10">
      <c r="A57" s="1"/>
      <c r="B57" s="1"/>
      <c r="C57" s="1"/>
      <c r="D57" s="1"/>
      <c r="E57" s="1"/>
      <c r="F57" s="1"/>
      <c r="G57" s="1"/>
      <c r="H57" s="1"/>
      <c r="I57" s="1"/>
      <c r="J57" s="1"/>
    </row>
    <row r="58" spans="1:10">
      <c r="A58" s="1"/>
      <c r="B58" s="1"/>
      <c r="C58" s="1"/>
      <c r="D58" s="1"/>
      <c r="E58" s="1"/>
      <c r="F58" s="1"/>
      <c r="G58" s="1"/>
      <c r="H58" s="1"/>
      <c r="I58" s="1"/>
      <c r="J58" s="1"/>
    </row>
    <row r="59" spans="1:10" ht="16">
      <c r="A59" s="20" t="s">
        <v>76</v>
      </c>
      <c r="B59" s="16"/>
      <c r="C59" s="16"/>
      <c r="D59" s="16"/>
      <c r="E59" s="16"/>
      <c r="F59" s="16"/>
      <c r="G59" s="16"/>
      <c r="H59" s="16"/>
      <c r="I59" s="16"/>
      <c r="J59" s="16"/>
    </row>
    <row r="60" spans="1:10" ht="24" customHeight="1">
      <c r="A60" s="18" t="s">
        <v>77</v>
      </c>
      <c r="B60" s="16"/>
      <c r="C60" s="16"/>
      <c r="D60" s="16"/>
      <c r="E60" s="16"/>
      <c r="F60" s="16"/>
      <c r="G60" s="16"/>
      <c r="H60" s="16"/>
      <c r="I60" s="16"/>
      <c r="J60" s="16"/>
    </row>
    <row r="61" spans="1:10" ht="24" customHeight="1">
      <c r="A61" s="16"/>
      <c r="B61" s="16"/>
      <c r="C61" s="16"/>
      <c r="D61" s="16"/>
      <c r="E61" s="16"/>
      <c r="F61" s="16"/>
      <c r="G61" s="16"/>
      <c r="H61" s="16"/>
      <c r="I61" s="16"/>
      <c r="J61" s="16"/>
    </row>
    <row r="62" spans="1:10" ht="24" customHeight="1">
      <c r="A62" s="16"/>
      <c r="B62" s="16"/>
      <c r="C62" s="16"/>
      <c r="D62" s="16"/>
      <c r="E62" s="16"/>
      <c r="F62" s="16"/>
      <c r="G62" s="16"/>
      <c r="H62" s="16"/>
      <c r="I62" s="16"/>
      <c r="J62" s="16"/>
    </row>
    <row r="63" spans="1:10" ht="24" customHeight="1">
      <c r="A63" s="16"/>
      <c r="B63" s="16"/>
      <c r="C63" s="16"/>
      <c r="D63" s="16"/>
      <c r="E63" s="16"/>
      <c r="F63" s="16"/>
      <c r="G63" s="16"/>
      <c r="H63" s="16"/>
      <c r="I63" s="16"/>
      <c r="J63" s="16"/>
    </row>
    <row r="64" spans="1:10">
      <c r="A64" s="1"/>
      <c r="B64" s="1"/>
      <c r="C64" s="1"/>
      <c r="D64" s="1"/>
      <c r="E64" s="1"/>
      <c r="F64" s="1"/>
      <c r="G64" s="1"/>
      <c r="H64" s="1"/>
      <c r="I64" s="1"/>
      <c r="J64" s="1"/>
    </row>
    <row r="65" spans="1:10" ht="32">
      <c r="A65" s="2" t="s">
        <v>78</v>
      </c>
      <c r="B65" s="2" t="s">
        <v>33</v>
      </c>
      <c r="C65" s="2" t="s">
        <v>79</v>
      </c>
      <c r="D65" s="2" t="s">
        <v>80</v>
      </c>
      <c r="E65" s="2" t="s">
        <v>81</v>
      </c>
      <c r="F65" s="2" t="s">
        <v>82</v>
      </c>
      <c r="G65" s="2" t="s">
        <v>83</v>
      </c>
      <c r="H65" s="1"/>
      <c r="I65" s="1"/>
      <c r="J65" s="1"/>
    </row>
    <row r="66" spans="1:10" ht="16">
      <c r="A66" s="3" t="s">
        <v>84</v>
      </c>
      <c r="B66" s="3">
        <v>20</v>
      </c>
      <c r="C66" s="3">
        <v>-5</v>
      </c>
      <c r="D66" s="3">
        <v>-5</v>
      </c>
      <c r="E66" s="3">
        <v>-15</v>
      </c>
      <c r="F66" s="3" t="s">
        <v>85</v>
      </c>
      <c r="G66" s="3" t="s">
        <v>86</v>
      </c>
      <c r="H66" s="1"/>
      <c r="I66" s="1"/>
      <c r="J66" s="1"/>
    </row>
    <row r="67" spans="1:10" ht="16">
      <c r="A67" s="3" t="s">
        <v>87</v>
      </c>
      <c r="B67" s="3">
        <v>30</v>
      </c>
      <c r="C67" s="3">
        <v>10</v>
      </c>
      <c r="D67" s="3">
        <v>10</v>
      </c>
      <c r="E67" s="3">
        <v>15</v>
      </c>
      <c r="F67" s="3" t="s">
        <v>88</v>
      </c>
      <c r="G67" s="3" t="s">
        <v>89</v>
      </c>
      <c r="H67" s="1"/>
      <c r="I67" s="1"/>
      <c r="J67" s="1"/>
    </row>
    <row r="68" spans="1:10" ht="16">
      <c r="A68" s="3" t="s">
        <v>90</v>
      </c>
      <c r="B68" s="3">
        <v>40</v>
      </c>
      <c r="C68" s="3">
        <v>20</v>
      </c>
      <c r="D68" s="3">
        <v>15</v>
      </c>
      <c r="E68" s="3">
        <v>10</v>
      </c>
      <c r="F68" s="3" t="s">
        <v>91</v>
      </c>
      <c r="G68" s="3" t="s">
        <v>92</v>
      </c>
      <c r="H68" s="1"/>
      <c r="I68" s="1"/>
      <c r="J68" s="1"/>
    </row>
    <row r="69" spans="1:10" ht="48">
      <c r="A69" s="3" t="s">
        <v>93</v>
      </c>
      <c r="B69" s="15"/>
      <c r="C69" s="16"/>
      <c r="D69" s="16"/>
      <c r="E69" s="16"/>
      <c r="F69" s="3" t="s">
        <v>94</v>
      </c>
      <c r="G69" s="7" t="s">
        <v>95</v>
      </c>
      <c r="H69" s="1"/>
      <c r="I69" s="1"/>
      <c r="J69" s="1"/>
    </row>
    <row r="70" spans="1:10">
      <c r="A70" s="1"/>
      <c r="B70" s="1"/>
      <c r="C70" s="1"/>
      <c r="D70" s="1"/>
      <c r="E70" s="1"/>
      <c r="F70" s="1"/>
      <c r="G70" s="1"/>
      <c r="H70" s="1"/>
      <c r="I70" s="1"/>
      <c r="J70" s="1"/>
    </row>
    <row r="71" spans="1:10">
      <c r="A71" s="1"/>
      <c r="B71" s="1"/>
      <c r="C71" s="1"/>
      <c r="D71" s="1"/>
      <c r="E71" s="1"/>
      <c r="F71" s="1"/>
      <c r="G71" s="1"/>
      <c r="H71" s="1"/>
      <c r="I71" s="1"/>
      <c r="J71" s="1"/>
    </row>
    <row r="72" spans="1:10" ht="16">
      <c r="A72" s="2" t="s">
        <v>96</v>
      </c>
      <c r="B72" s="2" t="s">
        <v>53</v>
      </c>
      <c r="C72" s="2" t="s">
        <v>54</v>
      </c>
      <c r="D72" s="2" t="s">
        <v>79</v>
      </c>
      <c r="E72" s="2" t="s">
        <v>80</v>
      </c>
      <c r="F72" s="2" t="s">
        <v>97</v>
      </c>
      <c r="G72" s="2" t="s">
        <v>98</v>
      </c>
      <c r="H72" s="1"/>
      <c r="I72" s="2" t="s">
        <v>99</v>
      </c>
      <c r="J72" s="2" t="s">
        <v>100</v>
      </c>
    </row>
    <row r="73" spans="1:10" ht="16">
      <c r="A73" s="3" t="s">
        <v>57</v>
      </c>
      <c r="B73" s="4"/>
      <c r="C73" s="3" t="s">
        <v>58</v>
      </c>
      <c r="D73" s="3">
        <v>0</v>
      </c>
      <c r="E73" s="3">
        <v>0</v>
      </c>
      <c r="F73" s="3">
        <v>0</v>
      </c>
      <c r="G73" s="6" t="str">
        <f>IF(B73="","",B73*'Scoring Backend'!$B$4)</f>
        <v/>
      </c>
      <c r="H73" s="1"/>
      <c r="I73" s="3" t="s">
        <v>59</v>
      </c>
      <c r="J73" s="6" t="str">
        <f>IF(COUNT(B73:B76)=0,"",MAX(0,B73-J74)*'Scoring Backend'!$C$4+B74*'Scoring Backend'!$C$6+B75*'Scoring Backend'!$C$7+B76*'Scoring Backend'!$C$8)</f>
        <v/>
      </c>
    </row>
    <row r="74" spans="1:10" ht="16">
      <c r="A74" s="3" t="s">
        <v>60</v>
      </c>
      <c r="B74" s="4"/>
      <c r="C74" s="3" t="s">
        <v>61</v>
      </c>
      <c r="D74" s="3">
        <v>5</v>
      </c>
      <c r="E74" s="3">
        <v>5</v>
      </c>
      <c r="F74" s="3">
        <v>8</v>
      </c>
      <c r="G74" s="6" t="str">
        <f>IF(B74="","",B74*'Scoring Backend'!$B$6)</f>
        <v/>
      </c>
      <c r="H74" s="1"/>
      <c r="I74" s="3" t="s">
        <v>62</v>
      </c>
      <c r="J74" s="6" t="str">
        <f>IF(COUNT(B73:B76)=0,"",B74*'Scoring Backend'!$G$4+B75*'Scoring Backend'!$G$5+B76*'Scoring Backend'!$G$6)</f>
        <v/>
      </c>
    </row>
    <row r="75" spans="1:10" ht="16">
      <c r="A75" s="3" t="s">
        <v>63</v>
      </c>
      <c r="B75" s="4"/>
      <c r="C75" s="3" t="s">
        <v>64</v>
      </c>
      <c r="D75" s="3">
        <v>10</v>
      </c>
      <c r="E75" s="3">
        <v>10</v>
      </c>
      <c r="F75" s="3">
        <v>12</v>
      </c>
      <c r="G75" s="6" t="str">
        <f>IF(B75="","",B75*'Scoring Backend'!$B$7)</f>
        <v/>
      </c>
      <c r="H75" s="1"/>
      <c r="I75" s="3" t="s">
        <v>65</v>
      </c>
      <c r="J75" s="6" t="str">
        <f>IF(COUNT(B73:B76)=0,"",IF(B73&gt;=J74,"PASS","FAIL"))</f>
        <v/>
      </c>
    </row>
    <row r="76" spans="1:10" ht="16">
      <c r="A76" s="3" t="s">
        <v>66</v>
      </c>
      <c r="B76" s="4"/>
      <c r="C76" s="3" t="s">
        <v>67</v>
      </c>
      <c r="D76" s="3">
        <v>18</v>
      </c>
      <c r="E76" s="3">
        <v>8</v>
      </c>
      <c r="F76" s="3">
        <v>18</v>
      </c>
      <c r="G76" s="6" t="str">
        <f>IF(B76="","",B76*'Scoring Backend'!$B$8)</f>
        <v/>
      </c>
      <c r="H76" s="1"/>
      <c r="I76" s="3" t="s">
        <v>68</v>
      </c>
      <c r="J76" s="6" t="str">
        <f>IF(COUNT(B73:B76)=0,"",IF(J73&gt;='Scoring Backend'!$B$20,"PASS","FAIL"))</f>
        <v/>
      </c>
    </row>
    <row r="77" spans="1:10" ht="16">
      <c r="A77" s="1"/>
      <c r="B77" s="1"/>
      <c r="C77" s="1"/>
      <c r="D77" s="1"/>
      <c r="E77" s="1"/>
      <c r="F77" s="1"/>
      <c r="G77" s="1"/>
      <c r="H77" s="1"/>
      <c r="I77" s="3" t="s">
        <v>69</v>
      </c>
      <c r="J77" s="6" t="str">
        <f>IF(B69="","",VLOOKUP(B69,'Scoring Backend'!$A$12:$E$14,2,FALSE)+SUM(G73:G76))</f>
        <v/>
      </c>
    </row>
    <row r="78" spans="1:10" ht="16">
      <c r="A78" s="1"/>
      <c r="B78" s="1"/>
      <c r="C78" s="1"/>
      <c r="D78" s="1"/>
      <c r="E78" s="1"/>
      <c r="F78" s="1"/>
      <c r="G78" s="1"/>
      <c r="H78" s="1"/>
      <c r="I78" s="3" t="s">
        <v>79</v>
      </c>
      <c r="J78" s="6" t="str">
        <f>IF(B69="","",MIN(100,'Scoring Backend'!$B$22+VLOOKUP(B69,'Scoring Backend'!$A$12:$E$14,3,FALSE)+SUMPRODUCT($D$73:$D$76,$B$73:$B$76)))</f>
        <v/>
      </c>
    </row>
    <row r="79" spans="1:10" ht="16">
      <c r="A79" s="1"/>
      <c r="B79" s="1"/>
      <c r="C79" s="1"/>
      <c r="D79" s="1"/>
      <c r="E79" s="1"/>
      <c r="F79" s="1"/>
      <c r="G79" s="1"/>
      <c r="H79" s="1"/>
      <c r="I79" s="3" t="s">
        <v>80</v>
      </c>
      <c r="J79" s="6" t="str">
        <f>IF(B69="","",MIN(100,'Scoring Backend'!$B$23+VLOOKUP(B69,'Scoring Backend'!$A$12:$E$14,4,FALSE)+SUMPRODUCT($E$73:$E$76,$B$73:$B$76)))</f>
        <v/>
      </c>
    </row>
    <row r="80" spans="1:10" ht="16">
      <c r="A80" s="1"/>
      <c r="B80" s="1"/>
      <c r="C80" s="1"/>
      <c r="D80" s="1"/>
      <c r="E80" s="1"/>
      <c r="F80" s="1"/>
      <c r="G80" s="1"/>
      <c r="H80" s="1"/>
      <c r="I80" s="3" t="s">
        <v>81</v>
      </c>
      <c r="J80" s="6" t="str">
        <f>IF(B69="","",MIN(100,'Scoring Backend'!$B$24+VLOOKUP(B69,'Scoring Backend'!$A$12:$E$14,5,FALSE)+SUMPRODUCT($F$73:$F$76,$B$73:$B$76)))</f>
        <v/>
      </c>
    </row>
    <row r="81" spans="1:10" ht="16">
      <c r="A81" s="1"/>
      <c r="B81" s="1"/>
      <c r="C81" s="1"/>
      <c r="D81" s="1"/>
      <c r="E81" s="1"/>
      <c r="F81" s="1"/>
      <c r="G81" s="1"/>
      <c r="H81" s="1"/>
      <c r="I81" s="3" t="s">
        <v>85</v>
      </c>
      <c r="J81" s="6" t="str">
        <f>IF(B69="","",SUMPRODUCT(J78:J80,'Scoring Backend'!$I$18:$I$20))</f>
        <v/>
      </c>
    </row>
    <row r="82" spans="1:10" ht="16">
      <c r="A82" s="1"/>
      <c r="B82" s="1"/>
      <c r="C82" s="1"/>
      <c r="D82" s="1"/>
      <c r="E82" s="1"/>
      <c r="F82" s="1"/>
      <c r="G82" s="1"/>
      <c r="H82" s="1"/>
      <c r="I82" s="3" t="s">
        <v>101</v>
      </c>
      <c r="J82" s="6" t="str">
        <f>IF(B69="","",MAX(0,J77-'Scoring Backend'!$G$18))</f>
        <v/>
      </c>
    </row>
    <row r="83" spans="1:10" ht="16">
      <c r="A83" s="1"/>
      <c r="B83" s="1"/>
      <c r="C83" s="1"/>
      <c r="D83" s="1"/>
      <c r="E83" s="1"/>
      <c r="F83" s="1"/>
      <c r="G83" s="1"/>
      <c r="H83" s="1"/>
      <c r="I83" s="3" t="s">
        <v>91</v>
      </c>
      <c r="J83" s="6" t="str">
        <f>IF(B69="","",MAX(0,'Scoring Backend'!$G$19-J79))</f>
        <v/>
      </c>
    </row>
    <row r="84" spans="1:10" ht="16">
      <c r="A84" s="1"/>
      <c r="B84" s="1"/>
      <c r="C84" s="1"/>
      <c r="D84" s="1"/>
      <c r="E84" s="1"/>
      <c r="F84" s="1"/>
      <c r="G84" s="1"/>
      <c r="H84" s="1"/>
      <c r="I84" s="3" t="s">
        <v>102</v>
      </c>
      <c r="J84" s="6" t="str">
        <f>IF(B69="","",J81-J82-J83)</f>
        <v/>
      </c>
    </row>
    <row r="85" spans="1:10">
      <c r="A85" s="1"/>
      <c r="B85" s="1"/>
      <c r="C85" s="1"/>
      <c r="D85" s="1"/>
      <c r="E85" s="1"/>
      <c r="F85" s="1"/>
      <c r="G85" s="1"/>
      <c r="H85" s="1"/>
      <c r="I85" s="1"/>
      <c r="J85" s="1"/>
    </row>
    <row r="86" spans="1:10">
      <c r="A86" s="1"/>
      <c r="B86" s="1"/>
      <c r="C86" s="1"/>
      <c r="D86" s="1"/>
      <c r="E86" s="1"/>
      <c r="F86" s="1"/>
      <c r="G86" s="1"/>
      <c r="H86" s="1"/>
      <c r="I86" s="1"/>
      <c r="J86" s="1"/>
    </row>
    <row r="87" spans="1:10" ht="16">
      <c r="A87" s="1"/>
      <c r="B87" s="1"/>
      <c r="C87" s="1"/>
      <c r="D87" s="1"/>
      <c r="E87" s="1"/>
      <c r="F87" s="1"/>
      <c r="G87" s="1"/>
      <c r="H87" s="1"/>
      <c r="I87" s="2" t="s">
        <v>103</v>
      </c>
      <c r="J87" s="2" t="s">
        <v>104</v>
      </c>
    </row>
    <row r="88" spans="1:10" ht="16">
      <c r="A88" s="1"/>
      <c r="B88" s="1"/>
      <c r="C88" s="1"/>
      <c r="D88" s="1"/>
      <c r="E88" s="1"/>
      <c r="F88" s="1"/>
      <c r="G88" s="1"/>
      <c r="H88" s="1"/>
      <c r="I88" s="3" t="s">
        <v>105</v>
      </c>
      <c r="J88" s="6" t="str">
        <f>IF(J77="","",IF(J77&lt;='Scoring Backend'!$G$18,"PASS","PENALTY"))</f>
        <v/>
      </c>
    </row>
    <row r="89" spans="1:10" ht="16">
      <c r="A89" s="1"/>
      <c r="B89" s="1"/>
      <c r="C89" s="1"/>
      <c r="D89" s="1"/>
      <c r="E89" s="1"/>
      <c r="F89" s="1"/>
      <c r="G89" s="1"/>
      <c r="H89" s="1"/>
      <c r="I89" s="3" t="s">
        <v>106</v>
      </c>
      <c r="J89" s="6" t="str">
        <f>IF(J79="","",IF(J79&gt;='Scoring Backend'!$G$19,"PASS","PENALTY"))</f>
        <v/>
      </c>
    </row>
    <row r="90" spans="1:10" ht="16">
      <c r="A90" s="1"/>
      <c r="B90" s="1"/>
      <c r="C90" s="1"/>
      <c r="D90" s="1"/>
      <c r="E90" s="1"/>
      <c r="F90" s="1"/>
      <c r="G90" s="1"/>
      <c r="H90" s="1"/>
      <c r="I90" s="3" t="s">
        <v>107</v>
      </c>
      <c r="J90" s="6" t="str">
        <f>IF(J75="","",J75)</f>
        <v/>
      </c>
    </row>
    <row r="91" spans="1:10" ht="16">
      <c r="A91" s="1"/>
      <c r="B91" s="1"/>
      <c r="C91" s="1"/>
      <c r="D91" s="1"/>
      <c r="E91" s="1"/>
      <c r="F91" s="1"/>
      <c r="G91" s="1"/>
      <c r="H91" s="1"/>
      <c r="I91" s="3" t="s">
        <v>108</v>
      </c>
      <c r="J91" s="6" t="str">
        <f>IF(J76="","",J76)</f>
        <v/>
      </c>
    </row>
    <row r="92" spans="1:10" ht="16">
      <c r="A92" s="1"/>
      <c r="B92" s="1"/>
      <c r="C92" s="1"/>
      <c r="D92" s="1"/>
      <c r="E92" s="1"/>
      <c r="F92" s="1"/>
      <c r="G92" s="1"/>
      <c r="H92" s="1"/>
      <c r="I92" s="8" t="s">
        <v>109</v>
      </c>
      <c r="J92" s="9" t="str">
        <f>IF(OR(B69="",COUNT(B73:B76)=0,J73="",J73=0),"",IF(B69="Human-Led",IF(((B74*'Scoring Backend'!$C$6+B75*'Scoring Backend'!$C$7+B76*'Scoring Backend'!$C$8)/J73)&lt;='Scoring Backend'!$G$22,"PASS","MISMATCH"),IF(B69="Collaborative",IF(AND(((B74*'Scoring Backend'!$C$6+B75*'Scoring Backend'!$C$7+B76*'Scoring Backend'!$C$8)/J73)&gt;='Scoring Backend'!$G$23,((B74*'Scoring Backend'!$C$6+B75*'Scoring Backend'!$C$7+B76*'Scoring Backend'!$C$8)/J73)&lt;='Scoring Backend'!$G$24),"PASS","MISMATCH"),IF(B69="Robot-Led",IF(((B74*'Scoring Backend'!$C$6+B75*'Scoring Backend'!$C$7+B76*'Scoring Backend'!$C$8)/J73)&gt;='Scoring Backend'!$G$25,"PASS","MISMATCH"),""))))</f>
        <v/>
      </c>
    </row>
    <row r="93" spans="1:10">
      <c r="A93" s="1"/>
      <c r="B93" s="1"/>
      <c r="C93" s="1"/>
      <c r="D93" s="1"/>
      <c r="E93" s="1"/>
      <c r="F93" s="1"/>
      <c r="G93" s="1"/>
      <c r="H93" s="1"/>
      <c r="I93" s="1"/>
      <c r="J93" s="1"/>
    </row>
    <row r="94" spans="1:10" ht="16">
      <c r="A94" s="20" t="s">
        <v>110</v>
      </c>
      <c r="B94" s="16"/>
      <c r="C94" s="16"/>
      <c r="D94" s="16"/>
      <c r="E94" s="16"/>
      <c r="F94" s="16"/>
      <c r="G94" s="16"/>
      <c r="H94" s="16"/>
      <c r="I94" s="16"/>
      <c r="J94" s="16"/>
    </row>
    <row r="95" spans="1:10" ht="16">
      <c r="A95" s="2" t="s">
        <v>111</v>
      </c>
      <c r="B95" s="2" t="s">
        <v>112</v>
      </c>
      <c r="C95" s="1"/>
      <c r="D95" s="1"/>
      <c r="E95" s="1"/>
      <c r="F95" s="1"/>
      <c r="G95" s="1"/>
      <c r="H95" s="1"/>
      <c r="I95" s="1"/>
      <c r="J95" s="1"/>
    </row>
    <row r="96" spans="1:10" ht="32">
      <c r="A96" s="3" t="s">
        <v>113</v>
      </c>
      <c r="B96" s="3" t="s">
        <v>75</v>
      </c>
      <c r="C96" s="1"/>
      <c r="D96" s="1"/>
      <c r="E96" s="1"/>
      <c r="F96" s="1"/>
      <c r="G96" s="1"/>
      <c r="H96" s="1"/>
      <c r="I96" s="1"/>
      <c r="J96" s="1"/>
    </row>
    <row r="97" spans="1:10" ht="32">
      <c r="A97" s="3" t="s">
        <v>114</v>
      </c>
      <c r="B97" s="3" t="s">
        <v>115</v>
      </c>
      <c r="C97" s="1"/>
      <c r="D97" s="1"/>
      <c r="E97" s="1"/>
      <c r="F97" s="1"/>
      <c r="G97" s="1"/>
      <c r="H97" s="1"/>
      <c r="I97" s="1"/>
      <c r="J97" s="1"/>
    </row>
    <row r="98" spans="1:10" ht="32">
      <c r="A98" s="3" t="s">
        <v>116</v>
      </c>
      <c r="B98" s="3" t="s">
        <v>117</v>
      </c>
      <c r="C98" s="1"/>
      <c r="D98" s="1"/>
      <c r="E98" s="1"/>
      <c r="F98" s="1"/>
      <c r="G98" s="1"/>
      <c r="H98" s="1"/>
      <c r="I98" s="1"/>
      <c r="J98" s="1"/>
    </row>
    <row r="99" spans="1:10">
      <c r="A99" s="1"/>
      <c r="B99" s="1"/>
      <c r="C99" s="1"/>
      <c r="D99" s="1"/>
      <c r="E99" s="1"/>
      <c r="F99" s="1"/>
      <c r="G99" s="1"/>
      <c r="H99" s="1"/>
      <c r="I99" s="1"/>
      <c r="J99" s="1"/>
    </row>
    <row r="100" spans="1:10">
      <c r="A100" s="1"/>
      <c r="B100" s="1"/>
      <c r="C100" s="1"/>
      <c r="D100" s="1"/>
      <c r="E100" s="1"/>
      <c r="F100" s="1"/>
      <c r="G100" s="1"/>
      <c r="H100" s="1"/>
      <c r="I100" s="1"/>
      <c r="J100" s="1"/>
    </row>
    <row r="101" spans="1:10" ht="16">
      <c r="A101" s="20" t="s">
        <v>118</v>
      </c>
      <c r="B101" s="16"/>
      <c r="C101" s="16"/>
      <c r="D101" s="16"/>
      <c r="E101" s="16"/>
      <c r="F101" s="16"/>
      <c r="G101" s="16"/>
      <c r="H101" s="16"/>
      <c r="I101" s="16"/>
      <c r="J101" s="16"/>
    </row>
    <row r="102" spans="1:10" ht="16">
      <c r="A102" s="2" t="s">
        <v>119</v>
      </c>
      <c r="B102" s="2" t="s">
        <v>120</v>
      </c>
      <c r="C102" s="1"/>
      <c r="D102" s="1"/>
      <c r="E102" s="1"/>
      <c r="F102" s="1"/>
      <c r="G102" s="1"/>
      <c r="H102" s="1"/>
      <c r="I102" s="1"/>
      <c r="J102" s="1"/>
    </row>
    <row r="103" spans="1:10" ht="32">
      <c r="A103" s="3" t="s">
        <v>121</v>
      </c>
      <c r="B103" s="4"/>
      <c r="C103" s="1"/>
      <c r="D103" s="1"/>
      <c r="E103" s="1"/>
      <c r="F103" s="1"/>
      <c r="G103" s="1"/>
      <c r="H103" s="1"/>
      <c r="I103" s="1"/>
      <c r="J103" s="1"/>
    </row>
    <row r="104" spans="1:10" ht="16">
      <c r="A104" s="3" t="s">
        <v>122</v>
      </c>
      <c r="B104" s="4"/>
      <c r="C104" s="1"/>
      <c r="D104" s="1"/>
      <c r="E104" s="1"/>
      <c r="F104" s="1"/>
      <c r="G104" s="1"/>
      <c r="H104" s="1"/>
      <c r="I104" s="1"/>
      <c r="J104" s="1"/>
    </row>
    <row r="105" spans="1:10" ht="32">
      <c r="A105" s="3" t="s">
        <v>123</v>
      </c>
      <c r="B105" s="4"/>
      <c r="C105" s="1"/>
      <c r="D105" s="1"/>
      <c r="E105" s="1"/>
      <c r="F105" s="1"/>
      <c r="G105" s="1"/>
      <c r="H105" s="1"/>
      <c r="I105" s="1"/>
      <c r="J105" s="1"/>
    </row>
    <row r="106" spans="1:10" ht="42" customHeight="1">
      <c r="A106" s="3" t="s">
        <v>124</v>
      </c>
      <c r="B106" s="4"/>
      <c r="C106" s="1"/>
      <c r="D106" s="1"/>
      <c r="E106" s="1"/>
      <c r="F106" s="1"/>
      <c r="G106" s="1"/>
      <c r="H106" s="1"/>
      <c r="I106" s="1"/>
      <c r="J106" s="1"/>
    </row>
    <row r="107" spans="1:10">
      <c r="A107" s="1"/>
      <c r="B107" s="1"/>
      <c r="C107" s="1"/>
      <c r="D107" s="1"/>
      <c r="E107" s="1"/>
      <c r="F107" s="1"/>
      <c r="G107" s="1"/>
      <c r="H107" s="1"/>
      <c r="I107" s="1"/>
      <c r="J107" s="1"/>
    </row>
    <row r="108" spans="1:10">
      <c r="A108" s="1"/>
      <c r="B108" s="1"/>
      <c r="C108" s="1"/>
      <c r="D108" s="1"/>
      <c r="E108" s="1"/>
      <c r="F108" s="1"/>
      <c r="G108" s="1"/>
      <c r="H108" s="1"/>
      <c r="I108" s="1"/>
      <c r="J108" s="1"/>
    </row>
    <row r="109" spans="1:10">
      <c r="A109" s="22" t="s">
        <v>125</v>
      </c>
      <c r="B109" s="16"/>
      <c r="C109" s="16"/>
      <c r="D109" s="16"/>
      <c r="E109" s="16"/>
      <c r="F109" s="16"/>
      <c r="G109" s="16"/>
      <c r="H109" s="16"/>
      <c r="I109" s="16"/>
      <c r="J109" s="16"/>
    </row>
    <row r="110" spans="1:10">
      <c r="A110" s="16"/>
      <c r="B110" s="16"/>
      <c r="C110" s="16"/>
      <c r="D110" s="16"/>
      <c r="E110" s="16"/>
      <c r="F110" s="16"/>
      <c r="G110" s="16"/>
      <c r="H110" s="16"/>
      <c r="I110" s="16"/>
      <c r="J110" s="16"/>
    </row>
  </sheetData>
  <mergeCells count="19">
    <mergeCell ref="A94:J94"/>
    <mergeCell ref="A1:J1"/>
    <mergeCell ref="A109:J110"/>
    <mergeCell ref="B55:C55"/>
    <mergeCell ref="B69:E69"/>
    <mergeCell ref="A101:J101"/>
    <mergeCell ref="A2:J2"/>
    <mergeCell ref="B54:C54"/>
    <mergeCell ref="A4:J4"/>
    <mergeCell ref="A60:J63"/>
    <mergeCell ref="A41:J42"/>
    <mergeCell ref="A40:J40"/>
    <mergeCell ref="A30:J30"/>
    <mergeCell ref="A59:J59"/>
    <mergeCell ref="A17:F17"/>
    <mergeCell ref="A12:J15"/>
    <mergeCell ref="A24:J24"/>
    <mergeCell ref="B53:C53"/>
    <mergeCell ref="A11:J11"/>
  </mergeCells>
  <dataValidations count="5">
    <dataValidation type="whole" sqref="B45:B48 B73:B76" xr:uid="{00000000-0002-0000-0300-000000000000}">
      <formula1>0</formula1>
      <formula2>20</formula2>
    </dataValidation>
    <dataValidation type="list" sqref="B69" xr:uid="{00000000-0002-0000-0300-000001000000}">
      <formula1>"Human-Led,Collaborative,Robot-Led"</formula1>
    </dataValidation>
    <dataValidation type="list" sqref="B103" xr:uid="{00000000-0002-0000-0300-000003000000}">
      <formula1>"Architecture Lead,Robot Engineer,Cost Manager"</formula1>
    </dataValidation>
    <dataValidation type="list" sqref="B104" xr:uid="{00000000-0002-0000-0300-000004000000}">
      <formula1>"Cost vs Productivity,Cost vs Safety,Cost vs Manual Effort Reduction,Productivity vs Safety,Productivity vs Manual Effort Reduction,Safety vs Manual Effort Reduction"</formula1>
    </dataValidation>
    <dataValidation type="list" sqref="B105" xr:uid="{00000000-0002-0000-0300-000005000000}">
      <formula1>"More Robots,Fewer Robots,Improved Productivity,Improved Safety,Improved Manual Effort Reduction,Lower Cost,No Major Change"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8"/>
  <sheetViews>
    <sheetView showGridLines="0" workbookViewId="0"/>
  </sheetViews>
  <sheetFormatPr baseColWidth="10" defaultColWidth="8.83203125" defaultRowHeight="15"/>
  <cols>
    <col min="1" max="8" width="17" customWidth="1"/>
    <col min="9" max="9" width="24" customWidth="1"/>
    <col min="10" max="17" width="17" customWidth="1"/>
  </cols>
  <sheetData>
    <row r="1" spans="1:16" ht="22">
      <c r="A1" s="26" t="s">
        <v>173</v>
      </c>
      <c r="B1" s="16"/>
      <c r="C1" s="16"/>
      <c r="D1" s="16"/>
      <c r="E1" s="16"/>
      <c r="F1" s="16"/>
      <c r="G1" s="16"/>
      <c r="H1" s="16"/>
      <c r="I1" s="16"/>
      <c r="J1" s="16"/>
      <c r="K1" s="16"/>
      <c r="L1" s="16"/>
      <c r="M1" s="16"/>
      <c r="N1" s="16"/>
      <c r="O1" s="16"/>
      <c r="P1" s="16"/>
    </row>
    <row r="2" spans="1:16">
      <c r="A2" s="1"/>
      <c r="B2" s="1"/>
      <c r="C2" s="1"/>
      <c r="D2" s="1"/>
      <c r="E2" s="1"/>
      <c r="F2" s="1"/>
      <c r="G2" s="1"/>
      <c r="H2" s="1"/>
      <c r="I2" s="1"/>
      <c r="J2" s="1"/>
      <c r="K2" s="1"/>
      <c r="L2" s="1"/>
      <c r="M2" s="1"/>
      <c r="N2" s="1"/>
      <c r="O2" s="1"/>
      <c r="P2" s="1"/>
    </row>
    <row r="3" spans="1:16">
      <c r="A3" s="18" t="s">
        <v>174</v>
      </c>
      <c r="B3" s="16"/>
      <c r="C3" s="16"/>
      <c r="D3" s="16"/>
      <c r="E3" s="16"/>
      <c r="F3" s="16"/>
      <c r="G3" s="16"/>
      <c r="H3" s="16"/>
      <c r="I3" s="16"/>
      <c r="J3" s="16"/>
      <c r="K3" s="16"/>
      <c r="L3" s="16"/>
      <c r="M3" s="16"/>
      <c r="N3" s="16"/>
      <c r="O3" s="16"/>
      <c r="P3" s="16"/>
    </row>
    <row r="4" spans="1:16">
      <c r="A4" s="16"/>
      <c r="B4" s="16"/>
      <c r="C4" s="16"/>
      <c r="D4" s="16"/>
      <c r="E4" s="16"/>
      <c r="F4" s="16"/>
      <c r="G4" s="16"/>
      <c r="H4" s="16"/>
      <c r="I4" s="16"/>
      <c r="J4" s="16"/>
      <c r="K4" s="16"/>
      <c r="L4" s="16"/>
      <c r="M4" s="16"/>
      <c r="N4" s="16"/>
      <c r="O4" s="16"/>
      <c r="P4" s="16"/>
    </row>
    <row r="5" spans="1:16">
      <c r="A5" s="1"/>
      <c r="B5" s="1"/>
      <c r="C5" s="1"/>
      <c r="D5" s="1"/>
      <c r="E5" s="1"/>
      <c r="F5" s="1"/>
      <c r="G5" s="1"/>
      <c r="H5" s="1"/>
      <c r="I5" s="1"/>
      <c r="J5" s="1"/>
      <c r="K5" s="1"/>
      <c r="L5" s="1"/>
      <c r="M5" s="1"/>
      <c r="N5" s="1"/>
      <c r="O5" s="1"/>
      <c r="P5" s="1"/>
    </row>
    <row r="6" spans="1:16" ht="16">
      <c r="A6" s="2" t="s">
        <v>175</v>
      </c>
      <c r="B6" s="2" t="s">
        <v>176</v>
      </c>
      <c r="C6" s="1"/>
      <c r="D6" s="1"/>
      <c r="E6" s="1"/>
      <c r="F6" s="1"/>
      <c r="G6" s="1"/>
      <c r="H6" s="1"/>
      <c r="I6" s="1"/>
      <c r="J6" s="1"/>
      <c r="K6" s="1"/>
      <c r="L6" s="1"/>
      <c r="M6" s="1"/>
      <c r="N6" s="1"/>
      <c r="O6" s="1"/>
      <c r="P6" s="1"/>
    </row>
    <row r="7" spans="1:16" ht="16">
      <c r="A7" s="3" t="s">
        <v>177</v>
      </c>
      <c r="B7" s="6" t="str">
        <f>IF(COUNTIF($G$13:$G$15,"YES")=0,"No feasible team yet",INDEX($A$13:$A$15,MATCH(MAX($H$13:$H$15),$H$13:$H$15,0)))</f>
        <v>No feasible team yet</v>
      </c>
      <c r="C7" s="1"/>
      <c r="D7" s="1"/>
      <c r="E7" s="1"/>
      <c r="F7" s="1"/>
      <c r="G7" s="1"/>
      <c r="H7" s="1"/>
      <c r="I7" s="1"/>
      <c r="J7" s="1"/>
      <c r="K7" s="1"/>
      <c r="L7" s="1"/>
      <c r="M7" s="1"/>
      <c r="N7" s="1"/>
      <c r="O7" s="1"/>
      <c r="P7" s="1"/>
    </row>
    <row r="8" spans="1:16" ht="16">
      <c r="A8" s="3" t="s">
        <v>178</v>
      </c>
      <c r="B8" s="6" t="str">
        <f>IF(COUNTIF($O$20:$O$22,"YES")=0,"No eligible team yet",INDEX($A$20:$A$22,MATCH(MAX($P$20:$P$22),$P$20:$P$22,0)))</f>
        <v>No eligible team yet</v>
      </c>
      <c r="C8" s="1"/>
      <c r="D8" s="1"/>
      <c r="E8" s="1"/>
      <c r="F8" s="1"/>
      <c r="G8" s="1"/>
      <c r="H8" s="1"/>
      <c r="I8" s="1"/>
      <c r="J8" s="1"/>
      <c r="K8" s="1"/>
      <c r="L8" s="1"/>
      <c r="M8" s="1"/>
      <c r="N8" s="1"/>
      <c r="O8" s="1"/>
      <c r="P8" s="1"/>
    </row>
    <row r="9" spans="1:16" ht="80">
      <c r="A9" s="3" t="s">
        <v>179</v>
      </c>
      <c r="B9" s="3" t="s">
        <v>180</v>
      </c>
      <c r="C9" s="1"/>
      <c r="D9" s="1"/>
      <c r="E9" s="1"/>
      <c r="F9" s="1"/>
      <c r="G9" s="1"/>
      <c r="H9" s="1"/>
      <c r="I9" s="1"/>
      <c r="J9" s="1"/>
      <c r="K9" s="1"/>
      <c r="L9" s="1"/>
      <c r="M9" s="1"/>
      <c r="N9" s="1"/>
      <c r="O9" s="1"/>
      <c r="P9" s="1"/>
    </row>
    <row r="10" spans="1:16">
      <c r="A10" s="1"/>
      <c r="B10" s="1"/>
      <c r="C10" s="1"/>
      <c r="D10" s="1"/>
      <c r="E10" s="1"/>
      <c r="F10" s="1"/>
      <c r="G10" s="1"/>
      <c r="H10" s="1"/>
      <c r="I10" s="1"/>
      <c r="J10" s="1"/>
      <c r="K10" s="1"/>
      <c r="L10" s="1"/>
      <c r="M10" s="1"/>
      <c r="N10" s="1"/>
      <c r="O10" s="1"/>
      <c r="P10" s="1"/>
    </row>
    <row r="11" spans="1:16">
      <c r="A11" s="1"/>
      <c r="B11" s="1"/>
      <c r="C11" s="1"/>
      <c r="D11" s="1"/>
      <c r="E11" s="1"/>
      <c r="F11" s="1"/>
      <c r="G11" s="1"/>
      <c r="H11" s="1"/>
      <c r="I11" s="1"/>
      <c r="J11" s="1"/>
      <c r="K11" s="1"/>
      <c r="L11" s="1"/>
      <c r="M11" s="1"/>
      <c r="N11" s="1"/>
      <c r="O11" s="1"/>
      <c r="P11" s="1"/>
    </row>
    <row r="12" spans="1:16" ht="32">
      <c r="A12" s="2" t="s">
        <v>181</v>
      </c>
      <c r="B12" s="2" t="s">
        <v>182</v>
      </c>
      <c r="C12" s="2" t="s">
        <v>183</v>
      </c>
      <c r="D12" s="2" t="s">
        <v>68</v>
      </c>
      <c r="E12" s="2" t="s">
        <v>184</v>
      </c>
      <c r="F12" s="2" t="s">
        <v>69</v>
      </c>
      <c r="G12" s="2" t="s">
        <v>185</v>
      </c>
      <c r="H12" s="2" t="s">
        <v>186</v>
      </c>
      <c r="I12" s="1"/>
      <c r="J12" s="1"/>
      <c r="K12" s="1"/>
      <c r="L12" s="1"/>
      <c r="M12" s="1"/>
      <c r="N12" s="1"/>
      <c r="O12" s="1"/>
      <c r="P12" s="1"/>
    </row>
    <row r="13" spans="1:16" ht="16">
      <c r="A13" s="3" t="s">
        <v>4</v>
      </c>
      <c r="B13" s="3" t="str">
        <f>IF('Team A'!G45="","",'Team A'!G45)</f>
        <v/>
      </c>
      <c r="C13" s="3" t="str">
        <f>IF('Team A'!G47="","",'Team A'!G47)</f>
        <v/>
      </c>
      <c r="D13" s="3" t="str">
        <f>IF('Team A'!G48="","",'Team A'!G48)</f>
        <v/>
      </c>
      <c r="E13" s="3" t="str">
        <f>IF('Team A'!G49="","",IF('Team A'!G49&lt;='Scoring Backend'!$B$21,"PASS","FAIL"))</f>
        <v/>
      </c>
      <c r="F13" s="3" t="str">
        <f>IF('Team A'!G49="","",'Team A'!G49)</f>
        <v/>
      </c>
      <c r="G13" s="3" t="str">
        <f>IF(B13="","",IF(AND(C13="PASS",D13="PASS"),"YES","NO"))</f>
        <v/>
      </c>
      <c r="H13" s="3" t="str">
        <f>IF(G13="","",IF(G13="YES",100000-F13,-999999))</f>
        <v/>
      </c>
      <c r="I13" s="1"/>
      <c r="J13" s="1"/>
      <c r="K13" s="1"/>
      <c r="L13" s="1"/>
      <c r="M13" s="1"/>
      <c r="N13" s="1"/>
      <c r="O13" s="1"/>
      <c r="P13" s="1"/>
    </row>
    <row r="14" spans="1:16" ht="16">
      <c r="A14" s="3" t="s">
        <v>170</v>
      </c>
      <c r="B14" s="3" t="str">
        <f>IF('Team B'!G45="","",'Team B'!G45)</f>
        <v/>
      </c>
      <c r="C14" s="3" t="str">
        <f>IF('Team B'!G47="","",'Team B'!G47)</f>
        <v/>
      </c>
      <c r="D14" s="3" t="str">
        <f>IF('Team B'!G48="","",'Team B'!G48)</f>
        <v/>
      </c>
      <c r="E14" s="3" t="str">
        <f>IF('Team B'!G49="","",IF('Team B'!G49&lt;='Scoring Backend'!$B$21,"PASS","FAIL"))</f>
        <v/>
      </c>
      <c r="F14" s="3" t="str">
        <f>IF('Team B'!G49="","",'Team B'!G49)</f>
        <v/>
      </c>
      <c r="G14" s="3" t="str">
        <f>IF(B14="","",IF(AND(C14="PASS",D14="PASS"),"YES","NO"))</f>
        <v/>
      </c>
      <c r="H14" s="3" t="str">
        <f>IF(G14="","",IF(G14="YES",100000-F14,-999999))</f>
        <v/>
      </c>
      <c r="I14" s="1"/>
      <c r="J14" s="1"/>
      <c r="K14" s="1"/>
      <c r="L14" s="1"/>
      <c r="M14" s="1"/>
      <c r="N14" s="1"/>
      <c r="O14" s="1"/>
      <c r="P14" s="1"/>
    </row>
    <row r="15" spans="1:16" ht="16">
      <c r="A15" s="3" t="s">
        <v>172</v>
      </c>
      <c r="B15" s="3" t="str">
        <f>IF('Team C'!G45="","",'Team C'!G45)</f>
        <v/>
      </c>
      <c r="C15" s="3" t="str">
        <f>IF('Team C'!G47="","",'Team C'!G47)</f>
        <v/>
      </c>
      <c r="D15" s="3" t="str">
        <f>IF('Team C'!G48="","",'Team C'!G48)</f>
        <v/>
      </c>
      <c r="E15" s="3" t="str">
        <f>IF('Team C'!G49="","",IF('Team C'!G49&lt;='Scoring Backend'!$B$21,"PASS","FAIL"))</f>
        <v/>
      </c>
      <c r="F15" s="3" t="str">
        <f>IF('Team C'!G49="","",'Team C'!G49)</f>
        <v/>
      </c>
      <c r="G15" s="3" t="str">
        <f>IF(B15="","",IF(AND(C15="PASS",D15="PASS"),"YES","NO"))</f>
        <v/>
      </c>
      <c r="H15" s="3" t="str">
        <f>IF(G15="","",IF(G15="YES",100000-F15,-999999))</f>
        <v/>
      </c>
      <c r="I15" s="1"/>
      <c r="J15" s="1"/>
      <c r="K15" s="1"/>
      <c r="L15" s="1"/>
      <c r="M15" s="1"/>
      <c r="N15" s="1"/>
      <c r="O15" s="1"/>
      <c r="P15" s="1"/>
    </row>
    <row r="16" spans="1:16">
      <c r="A16" s="1"/>
      <c r="B16" s="1"/>
      <c r="C16" s="1"/>
      <c r="D16" s="1"/>
      <c r="E16" s="1"/>
      <c r="F16" s="1"/>
      <c r="G16" s="1"/>
      <c r="H16" s="1"/>
      <c r="I16" s="1"/>
      <c r="J16" s="1"/>
      <c r="K16" s="1"/>
      <c r="L16" s="1"/>
      <c r="M16" s="1"/>
      <c r="N16" s="1"/>
      <c r="O16" s="1"/>
      <c r="P16" s="1"/>
    </row>
    <row r="17" spans="1:17">
      <c r="A17" s="1"/>
      <c r="B17" s="1"/>
      <c r="C17" s="1"/>
      <c r="D17" s="1"/>
      <c r="E17" s="1"/>
      <c r="F17" s="1"/>
      <c r="G17" s="1"/>
      <c r="H17" s="1"/>
      <c r="I17" s="1"/>
      <c r="J17" s="1"/>
      <c r="K17" s="1"/>
      <c r="L17" s="1"/>
      <c r="M17" s="1"/>
      <c r="N17" s="1"/>
      <c r="O17" s="1"/>
      <c r="P17" s="1"/>
    </row>
    <row r="18" spans="1:17">
      <c r="A18" s="1"/>
      <c r="B18" s="1"/>
      <c r="C18" s="1"/>
      <c r="D18" s="1"/>
      <c r="E18" s="1"/>
      <c r="F18" s="1"/>
      <c r="G18" s="1"/>
      <c r="H18" s="1"/>
      <c r="I18" s="1"/>
      <c r="J18" s="1"/>
      <c r="K18" s="1"/>
      <c r="L18" s="1"/>
      <c r="M18" s="1"/>
      <c r="N18" s="1"/>
      <c r="O18" s="1"/>
      <c r="P18" s="1"/>
    </row>
    <row r="19" spans="1:17" ht="32">
      <c r="A19" s="8" t="s">
        <v>187</v>
      </c>
      <c r="B19" s="8" t="s">
        <v>188</v>
      </c>
      <c r="C19" s="8" t="s">
        <v>182</v>
      </c>
      <c r="D19" s="8" t="s">
        <v>183</v>
      </c>
      <c r="E19" s="8" t="s">
        <v>68</v>
      </c>
      <c r="F19" s="8" t="s">
        <v>69</v>
      </c>
      <c r="G19" s="8" t="s">
        <v>79</v>
      </c>
      <c r="H19" s="8" t="s">
        <v>80</v>
      </c>
      <c r="I19" s="8" t="s">
        <v>81</v>
      </c>
      <c r="J19" s="8" t="s">
        <v>85</v>
      </c>
      <c r="K19" s="8" t="s">
        <v>88</v>
      </c>
      <c r="L19" s="8" t="s">
        <v>91</v>
      </c>
      <c r="M19" s="8" t="s">
        <v>102</v>
      </c>
      <c r="N19" s="8" t="s">
        <v>189</v>
      </c>
      <c r="O19" s="8" t="s">
        <v>190</v>
      </c>
      <c r="P19" s="8" t="s">
        <v>186</v>
      </c>
      <c r="Q19" s="8" t="s">
        <v>191</v>
      </c>
    </row>
    <row r="20" spans="1:17" ht="16">
      <c r="A20" s="12" t="s">
        <v>4</v>
      </c>
      <c r="B20" s="12" t="str">
        <f>IF('Team A'!B69="","",'Team A'!B69)</f>
        <v/>
      </c>
      <c r="C20" s="12" t="str">
        <f>IF('Team A'!J73="","",'Team A'!J73)</f>
        <v/>
      </c>
      <c r="D20" s="12" t="str">
        <f>IF('Team A'!J75="","",'Team A'!J75)</f>
        <v/>
      </c>
      <c r="E20" s="12" t="str">
        <f>IF('Team A'!J76="","",'Team A'!J76)</f>
        <v/>
      </c>
      <c r="F20" s="12" t="str">
        <f>IF('Team A'!J77="","",'Team A'!J77)</f>
        <v/>
      </c>
      <c r="G20" s="12" t="str">
        <f>IF('Team A'!J78="","",'Team A'!J78)</f>
        <v/>
      </c>
      <c r="H20" s="12" t="str">
        <f>IF('Team A'!J79="","",'Team A'!J79)</f>
        <v/>
      </c>
      <c r="I20" s="12" t="str">
        <f>IF('Team A'!J80="","",'Team A'!J80)</f>
        <v/>
      </c>
      <c r="J20" s="12" t="str">
        <f>IF('Team A'!J81="","",'Team A'!J81)</f>
        <v/>
      </c>
      <c r="K20" s="12" t="str">
        <f>IF('Team A'!J82="","",'Team A'!J82)</f>
        <v/>
      </c>
      <c r="L20" s="12" t="str">
        <f>IF('Team A'!J83="","",'Team A'!J83)</f>
        <v/>
      </c>
      <c r="M20" s="12" t="str">
        <f>IF('Team A'!J84="","",'Team A'!J84)</f>
        <v/>
      </c>
      <c r="N20" s="12" t="str">
        <f>IF('Team A'!J92="","",'Team A'!J92)</f>
        <v/>
      </c>
      <c r="O20" s="12" t="str">
        <f>IF(OR(B20="",D20="",E20="",N20=""),"",IF(AND(D20="PASS",E20="PASS",N20="PASS"),"YES","NO"))</f>
        <v/>
      </c>
      <c r="P20" s="12" t="str">
        <f>IF(O20="","",IF(O20="YES",M20*1000-F20,-999999))</f>
        <v/>
      </c>
      <c r="Q20" s="13" t="str">
        <f>IF(P20="","",IF(P20=MAX($P$20:$P$22),"WINNER",""))</f>
        <v/>
      </c>
    </row>
    <row r="21" spans="1:17" ht="16">
      <c r="A21" s="12" t="s">
        <v>170</v>
      </c>
      <c r="B21" s="12" t="str">
        <f>IF('Team B'!B69="","",'Team B'!B69)</f>
        <v/>
      </c>
      <c r="C21" s="12" t="str">
        <f>IF('Team B'!J73="","",'Team B'!J73)</f>
        <v/>
      </c>
      <c r="D21" s="12" t="str">
        <f>IF('Team B'!J75="","",'Team B'!J75)</f>
        <v/>
      </c>
      <c r="E21" s="12" t="str">
        <f>IF('Team B'!J76="","",'Team B'!J76)</f>
        <v/>
      </c>
      <c r="F21" s="12" t="str">
        <f>IF('Team B'!J77="","",'Team B'!J77)</f>
        <v/>
      </c>
      <c r="G21" s="12" t="str">
        <f>IF('Team B'!J78="","",'Team B'!J78)</f>
        <v/>
      </c>
      <c r="H21" s="12" t="str">
        <f>IF('Team B'!J79="","",'Team B'!J79)</f>
        <v/>
      </c>
      <c r="I21" s="12" t="str">
        <f>IF('Team B'!J80="","",'Team B'!J80)</f>
        <v/>
      </c>
      <c r="J21" s="12" t="str">
        <f>IF('Team B'!J81="","",'Team B'!J81)</f>
        <v/>
      </c>
      <c r="K21" s="12" t="str">
        <f>IF('Team B'!J82="","",'Team B'!J82)</f>
        <v/>
      </c>
      <c r="L21" s="12" t="str">
        <f>IF('Team B'!J83="","",'Team B'!J83)</f>
        <v/>
      </c>
      <c r="M21" s="12" t="str">
        <f>IF('Team B'!J84="","",'Team B'!J84)</f>
        <v/>
      </c>
      <c r="N21" s="12" t="str">
        <f>IF('Team B'!J92="","",'Team B'!J92)</f>
        <v/>
      </c>
      <c r="O21" s="12" t="str">
        <f>IF(OR(B21="",D21="",E21="",N21=""),"",IF(AND(D21="PASS",E21="PASS",N21="PASS"),"YES","NO"))</f>
        <v/>
      </c>
      <c r="P21" s="12" t="str">
        <f>IF(O21="","",IF(O21="YES",M21*1000-F21,-999999))</f>
        <v/>
      </c>
      <c r="Q21" s="13" t="str">
        <f>IF(P21="","",IF(P21=MAX($P$20:$P$22),"WINNER",""))</f>
        <v/>
      </c>
    </row>
    <row r="22" spans="1:17" ht="16">
      <c r="A22" s="12" t="s">
        <v>172</v>
      </c>
      <c r="B22" s="12" t="str">
        <f>IF('Team C'!B69="","",'Team C'!B69)</f>
        <v/>
      </c>
      <c r="C22" s="12" t="str">
        <f>IF('Team C'!J73="","",'Team C'!J73)</f>
        <v/>
      </c>
      <c r="D22" s="12" t="str">
        <f>IF('Team C'!J75="","",'Team C'!J75)</f>
        <v/>
      </c>
      <c r="E22" s="12" t="str">
        <f>IF('Team C'!J76="","",'Team C'!J76)</f>
        <v/>
      </c>
      <c r="F22" s="12" t="str">
        <f>IF('Team C'!J77="","",'Team C'!J77)</f>
        <v/>
      </c>
      <c r="G22" s="12" t="str">
        <f>IF('Team C'!J78="","",'Team C'!J78)</f>
        <v/>
      </c>
      <c r="H22" s="12" t="str">
        <f>IF('Team C'!J79="","",'Team C'!J79)</f>
        <v/>
      </c>
      <c r="I22" s="12" t="str">
        <f>IF('Team C'!J80="","",'Team C'!J80)</f>
        <v/>
      </c>
      <c r="J22" s="12" t="str">
        <f>IF('Team C'!J81="","",'Team C'!J81)</f>
        <v/>
      </c>
      <c r="K22" s="12" t="str">
        <f>IF('Team C'!J82="","",'Team C'!J82)</f>
        <v/>
      </c>
      <c r="L22" s="12" t="str">
        <f>IF('Team C'!J83="","",'Team C'!J83)</f>
        <v/>
      </c>
      <c r="M22" s="12" t="str">
        <f>IF('Team C'!J84="","",'Team C'!J84)</f>
        <v/>
      </c>
      <c r="N22" s="12" t="str">
        <f>IF('Team C'!J92="","",'Team C'!J92)</f>
        <v/>
      </c>
      <c r="O22" s="12" t="str">
        <f>IF(OR(B22="",D22="",E22="",N22=""),"",IF(AND(D22="PASS",E22="PASS",N22="PASS"),"YES","NO"))</f>
        <v/>
      </c>
      <c r="P22" s="12" t="str">
        <f>IF(O22="","",IF(O22="YES",M22*1000-F22,-999999))</f>
        <v/>
      </c>
      <c r="Q22" s="13" t="str">
        <f>IF(P22="","",IF(P22=MAX($P$20:$P$22),"WINNER",""))</f>
        <v/>
      </c>
    </row>
    <row r="23" spans="1:17">
      <c r="A23" s="1"/>
      <c r="B23" s="1"/>
      <c r="C23" s="1"/>
      <c r="D23" s="1"/>
      <c r="E23" s="1"/>
      <c r="F23" s="1"/>
      <c r="G23" s="1"/>
      <c r="H23" s="1"/>
      <c r="I23" s="1"/>
      <c r="J23" s="1"/>
      <c r="K23" s="1"/>
      <c r="L23" s="1"/>
      <c r="M23" s="1"/>
      <c r="N23" s="1"/>
      <c r="O23" s="1"/>
      <c r="P23" s="1"/>
    </row>
    <row r="24" spans="1:17">
      <c r="A24" s="1"/>
      <c r="B24" s="1"/>
      <c r="C24" s="1"/>
      <c r="D24" s="1"/>
      <c r="E24" s="1"/>
      <c r="F24" s="1"/>
      <c r="G24" s="1"/>
      <c r="H24" s="1"/>
      <c r="I24" s="1"/>
      <c r="J24" s="1"/>
      <c r="K24" s="1"/>
      <c r="L24" s="1"/>
      <c r="M24" s="1"/>
      <c r="N24" s="1"/>
      <c r="O24" s="1"/>
      <c r="P24" s="1"/>
    </row>
    <row r="25" spans="1:17">
      <c r="A25" s="1"/>
      <c r="B25" s="1"/>
      <c r="C25" s="1"/>
      <c r="D25" s="1"/>
      <c r="E25" s="1"/>
      <c r="F25" s="1"/>
      <c r="G25" s="1"/>
      <c r="H25" s="1"/>
      <c r="I25" s="1"/>
      <c r="J25" s="1"/>
      <c r="K25" s="1"/>
      <c r="L25" s="1"/>
      <c r="M25" s="1"/>
      <c r="N25" s="1"/>
      <c r="O25" s="1"/>
      <c r="P25" s="1"/>
    </row>
    <row r="26" spans="1:17">
      <c r="A26" s="1"/>
      <c r="B26" s="1"/>
      <c r="C26" s="1"/>
      <c r="D26" s="1"/>
      <c r="E26" s="1"/>
      <c r="F26" s="1"/>
      <c r="G26" s="1"/>
      <c r="H26" s="1"/>
      <c r="I26" s="1"/>
      <c r="J26" s="1"/>
      <c r="K26" s="1"/>
      <c r="L26" s="1"/>
      <c r="M26" s="1"/>
      <c r="N26" s="1"/>
      <c r="O26" s="1"/>
      <c r="P26" s="1"/>
    </row>
    <row r="27" spans="1:17">
      <c r="A27" s="1"/>
      <c r="B27" s="1"/>
      <c r="C27" s="1"/>
      <c r="D27" s="1"/>
      <c r="E27" s="1"/>
      <c r="F27" s="1"/>
      <c r="G27" s="1"/>
      <c r="H27" s="1"/>
      <c r="I27" s="1"/>
      <c r="J27" s="1"/>
      <c r="K27" s="1"/>
      <c r="L27" s="1"/>
      <c r="M27" s="1"/>
      <c r="N27" s="1"/>
      <c r="O27" s="1"/>
      <c r="P27" s="1"/>
    </row>
    <row r="28" spans="1:17">
      <c r="A28" s="1"/>
      <c r="B28" s="1"/>
      <c r="C28" s="1"/>
      <c r="D28" s="1"/>
      <c r="E28" s="1"/>
      <c r="F28" s="1"/>
      <c r="G28" s="1"/>
      <c r="H28" s="1"/>
      <c r="I28" s="1"/>
      <c r="J28" s="1"/>
      <c r="K28" s="1"/>
      <c r="L28" s="1"/>
      <c r="M28" s="1"/>
      <c r="N28" s="1"/>
      <c r="O28" s="1"/>
      <c r="P28" s="1"/>
    </row>
    <row r="29" spans="1:17">
      <c r="A29" s="1"/>
      <c r="B29" s="1"/>
      <c r="C29" s="1"/>
      <c r="D29" s="1"/>
      <c r="E29" s="1"/>
      <c r="F29" s="1"/>
      <c r="G29" s="1"/>
      <c r="H29" s="1"/>
      <c r="I29" s="1"/>
      <c r="J29" s="1"/>
      <c r="K29" s="1"/>
      <c r="L29" s="1"/>
      <c r="M29" s="1"/>
      <c r="N29" s="1"/>
      <c r="O29" s="1"/>
      <c r="P29" s="1"/>
    </row>
    <row r="30" spans="1:17">
      <c r="A30" s="1"/>
      <c r="B30" s="1"/>
      <c r="C30" s="1"/>
      <c r="D30" s="1"/>
      <c r="E30" s="1"/>
      <c r="F30" s="1"/>
      <c r="G30" s="1"/>
      <c r="H30" s="1"/>
      <c r="I30" s="1"/>
      <c r="J30" s="1"/>
      <c r="K30" s="1"/>
      <c r="L30" s="1"/>
      <c r="M30" s="1"/>
      <c r="N30" s="1"/>
      <c r="O30" s="1"/>
      <c r="P30" s="1"/>
    </row>
    <row r="31" spans="1:17">
      <c r="A31" s="1"/>
      <c r="B31" s="1"/>
      <c r="C31" s="1"/>
      <c r="D31" s="1"/>
      <c r="E31" s="1"/>
      <c r="F31" s="1"/>
      <c r="G31" s="1"/>
      <c r="H31" s="1"/>
      <c r="I31" s="1"/>
      <c r="J31" s="1"/>
      <c r="K31" s="1"/>
      <c r="L31" s="1"/>
      <c r="M31" s="1"/>
      <c r="N31" s="1"/>
      <c r="O31" s="1"/>
      <c r="P31" s="1"/>
    </row>
    <row r="32" spans="1:17">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t="s">
        <v>192</v>
      </c>
      <c r="B45" s="1" t="s">
        <v>102</v>
      </c>
      <c r="C45" s="1"/>
      <c r="D45" s="1"/>
      <c r="E45" s="1"/>
      <c r="F45" s="1"/>
      <c r="G45" s="1"/>
      <c r="H45" s="1"/>
      <c r="I45" s="1"/>
      <c r="J45" s="1"/>
      <c r="K45" s="1"/>
      <c r="L45" s="1"/>
      <c r="M45" s="1"/>
      <c r="N45" s="1"/>
      <c r="O45" s="1"/>
      <c r="P45" s="1"/>
    </row>
    <row r="46" spans="1:16">
      <c r="A46" s="1" t="s">
        <v>4</v>
      </c>
      <c r="B46" s="1" t="str">
        <f>IF(M20="","",M20)</f>
        <v/>
      </c>
      <c r="C46" s="1"/>
      <c r="D46" s="1"/>
      <c r="E46" s="1"/>
      <c r="F46" s="1"/>
      <c r="G46" s="1"/>
      <c r="H46" s="1"/>
      <c r="I46" s="1"/>
      <c r="J46" s="1"/>
      <c r="K46" s="1"/>
      <c r="L46" s="1"/>
      <c r="M46" s="1"/>
      <c r="N46" s="1"/>
      <c r="O46" s="1"/>
      <c r="P46" s="1"/>
    </row>
    <row r="47" spans="1:16">
      <c r="A47" s="1" t="s">
        <v>170</v>
      </c>
      <c r="B47" s="1" t="str">
        <f>IF(M21="","",M21)</f>
        <v/>
      </c>
      <c r="C47" s="1"/>
      <c r="D47" s="1"/>
      <c r="E47" s="1"/>
      <c r="F47" s="1"/>
      <c r="G47" s="1"/>
      <c r="H47" s="1"/>
      <c r="I47" s="1"/>
      <c r="J47" s="1"/>
      <c r="K47" s="1"/>
      <c r="L47" s="1"/>
      <c r="M47" s="1"/>
      <c r="N47" s="1"/>
      <c r="O47" s="1"/>
      <c r="P47" s="1"/>
    </row>
    <row r="48" spans="1:16">
      <c r="A48" s="1" t="s">
        <v>172</v>
      </c>
      <c r="B48" s="1" t="str">
        <f>IF(M22="","",M22)</f>
        <v/>
      </c>
      <c r="C48" s="1"/>
      <c r="D48" s="1"/>
      <c r="E48" s="1"/>
      <c r="F48" s="1"/>
      <c r="G48" s="1"/>
      <c r="H48" s="1"/>
      <c r="I48" s="1"/>
      <c r="J48" s="1"/>
      <c r="K48" s="1"/>
      <c r="L48" s="1"/>
      <c r="M48" s="1"/>
      <c r="N48" s="1"/>
      <c r="O48" s="1"/>
      <c r="P48" s="1"/>
    </row>
  </sheetData>
  <mergeCells count="2">
    <mergeCell ref="A1:P1"/>
    <mergeCell ref="A3:P4"/>
  </mergeCells>
  <conditionalFormatting sqref="C13:E15">
    <cfRule type="containsText" dxfId="24" priority="1" operator="containsText" text="PASS"/>
    <cfRule type="containsText" dxfId="23" priority="2" operator="containsText" text="FAIL"/>
    <cfRule type="containsText" dxfId="22" priority="3" operator="containsText" text="YES"/>
    <cfRule type="containsText" dxfId="21" priority="4" operator="containsText" text="NO"/>
    <cfRule type="containsText" dxfId="20" priority="5" operator="containsText" text="WINNER"/>
  </conditionalFormatting>
  <conditionalFormatting sqref="D20:E22">
    <cfRule type="containsText" dxfId="19" priority="13" operator="containsText" text="YES"/>
    <cfRule type="containsText" dxfId="18" priority="11" operator="containsText" text="PASS"/>
    <cfRule type="containsText" dxfId="17" priority="12" operator="containsText" text="FAIL"/>
    <cfRule type="containsText" dxfId="16" priority="14" operator="containsText" text="NO"/>
    <cfRule type="containsText" dxfId="15" priority="15" operator="containsText" text="WINNER"/>
  </conditionalFormatting>
  <conditionalFormatting sqref="G13:G15">
    <cfRule type="containsText" dxfId="14" priority="7" operator="containsText" text="FAIL"/>
    <cfRule type="containsText" dxfId="13" priority="8" operator="containsText" text="YES"/>
    <cfRule type="containsText" dxfId="12" priority="9" operator="containsText" text="NO"/>
    <cfRule type="containsText" dxfId="11" priority="10" operator="containsText" text="WINNER"/>
    <cfRule type="containsText" dxfId="10" priority="6" operator="containsText" text="PASS"/>
  </conditionalFormatting>
  <conditionalFormatting sqref="N20:N22">
    <cfRule type="containsText" dxfId="9" priority="16" operator="containsText" text="PASS"/>
    <cfRule type="containsText" dxfId="8" priority="17" operator="containsText" text="FAIL"/>
    <cfRule type="containsText" dxfId="7" priority="18" operator="containsText" text="YES"/>
    <cfRule type="containsText" dxfId="6" priority="19" operator="containsText" text="NO"/>
    <cfRule type="containsText" dxfId="5" priority="20" operator="containsText" text="WINNER"/>
  </conditionalFormatting>
  <conditionalFormatting sqref="P20:P22">
    <cfRule type="containsText" dxfId="4" priority="21" operator="containsText" text="PASS"/>
    <cfRule type="containsText" dxfId="3" priority="22" operator="containsText" text="FAIL"/>
    <cfRule type="containsText" dxfId="2" priority="23" operator="containsText" text="YES"/>
    <cfRule type="containsText" dxfId="1" priority="24" operator="containsText" text="NO"/>
    <cfRule type="containsText" dxfId="0" priority="25" operator="containsText" text="WINNER"/>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A</vt:lpstr>
      <vt:lpstr>Scoring Backend</vt:lpstr>
      <vt:lpstr>Team B</vt:lpstr>
      <vt:lpstr>Team C</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Yifan Xu</cp:lastModifiedBy>
  <dcterms:created xsi:type="dcterms:W3CDTF">2026-06-02T23:00:43Z</dcterms:created>
  <dcterms:modified xsi:type="dcterms:W3CDTF">2026-06-02T23:10:45Z</dcterms:modified>
</cp:coreProperties>
</file>