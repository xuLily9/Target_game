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user/Desktop/"/>
    </mc:Choice>
  </mc:AlternateContent>
  <xr:revisionPtr revIDLastSave="0" documentId="13_ncr:1_{9E32DF40-BE03-4F4A-B5A5-0C01BFD776EB}" xr6:coauthVersionLast="47" xr6:coauthVersionMax="47" xr10:uidLastSave="{00000000-0000-0000-0000-000000000000}"/>
  <bookViews>
    <workbookView xWindow="0" yWindow="660" windowWidth="29400" windowHeight="17300" xr2:uid="{00000000-000D-0000-FFFF-FFFF00000000}"/>
  </bookViews>
  <sheets>
    <sheet name="Team A" sheetId="1" r:id="rId1"/>
    <sheet name="Scoring Backend" sheetId="2" r:id="rId2"/>
    <sheet name="Team B" sheetId="3" r:id="rId3"/>
    <sheet name="Team C" sheetId="4" r:id="rId4"/>
    <sheet name="Summary" sheetId="5" r:id="rId5"/>
    <sheet name="Formula Tes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5" l="1"/>
  <c r="O22" i="5"/>
  <c r="E22" i="5"/>
  <c r="D22" i="5"/>
  <c r="B22" i="5"/>
  <c r="O21" i="5"/>
  <c r="E21" i="5"/>
  <c r="D21" i="5"/>
  <c r="B21" i="5"/>
  <c r="O20" i="5"/>
  <c r="E20" i="5"/>
  <c r="D20" i="5"/>
  <c r="B20" i="5"/>
  <c r="E15" i="5"/>
  <c r="E14" i="5"/>
  <c r="E13" i="5"/>
  <c r="B8" i="5" a="1"/>
  <c r="B8" i="5" s="1"/>
  <c r="I97" i="4"/>
  <c r="L96" i="4"/>
  <c r="K96" i="4"/>
  <c r="J96" i="4"/>
  <c r="L95" i="4"/>
  <c r="K95" i="4"/>
  <c r="J95" i="4"/>
  <c r="L94" i="4"/>
  <c r="K94" i="4"/>
  <c r="J94" i="4"/>
  <c r="L93" i="4"/>
  <c r="K93" i="4"/>
  <c r="J93" i="4"/>
  <c r="L92" i="4"/>
  <c r="K92" i="4"/>
  <c r="J92" i="4"/>
  <c r="J88" i="4"/>
  <c r="J89" i="4" s="1"/>
  <c r="F22" i="5" s="1"/>
  <c r="J87" i="4"/>
  <c r="J86" i="4"/>
  <c r="C22" i="5" s="1"/>
  <c r="C86" i="4"/>
  <c r="B86" i="4"/>
  <c r="A86" i="4"/>
  <c r="J85" i="4"/>
  <c r="J84" i="4"/>
  <c r="J82" i="4" a="1"/>
  <c r="J82" i="4"/>
  <c r="N22" i="5" s="1"/>
  <c r="B47" i="5" s="1"/>
  <c r="J81" i="4"/>
  <c r="M22" i="5" s="1"/>
  <c r="J80" i="4"/>
  <c r="L22" i="5" s="1"/>
  <c r="J79" i="4"/>
  <c r="K22" i="5" s="1"/>
  <c r="J78" i="4"/>
  <c r="J22" i="5" s="1"/>
  <c r="J77" i="4"/>
  <c r="I22" i="5" s="1"/>
  <c r="G77" i="4"/>
  <c r="F77" i="4"/>
  <c r="E77" i="4"/>
  <c r="D77" i="4"/>
  <c r="J76" i="4"/>
  <c r="H22" i="5" s="1"/>
  <c r="G76" i="4"/>
  <c r="F76" i="4"/>
  <c r="E76" i="4"/>
  <c r="D76" i="4"/>
  <c r="J75" i="4"/>
  <c r="G75" i="4"/>
  <c r="F75" i="4"/>
  <c r="E75" i="4"/>
  <c r="D75" i="4"/>
  <c r="J74" i="4"/>
  <c r="G22" i="5" s="1"/>
  <c r="G74" i="4"/>
  <c r="G73" i="4"/>
  <c r="B68" i="4"/>
  <c r="B67" i="4"/>
  <c r="B66" i="4"/>
  <c r="G52" i="4"/>
  <c r="G51" i="4"/>
  <c r="C51" i="4"/>
  <c r="B51" i="4"/>
  <c r="A51" i="4"/>
  <c r="G50" i="4"/>
  <c r="G49" i="4"/>
  <c r="F15" i="5" s="1"/>
  <c r="G48" i="4"/>
  <c r="D15" i="5" s="1"/>
  <c r="G47" i="4"/>
  <c r="C15" i="5" s="1"/>
  <c r="G15" i="5" s="1"/>
  <c r="H15" i="5" s="1"/>
  <c r="G46" i="4"/>
  <c r="G45" i="4"/>
  <c r="B15" i="5" s="1"/>
  <c r="C38" i="4"/>
  <c r="B38" i="4"/>
  <c r="C37" i="4"/>
  <c r="B37" i="4"/>
  <c r="C36" i="4"/>
  <c r="B36" i="4"/>
  <c r="B33" i="4"/>
  <c r="C32" i="4"/>
  <c r="B32" i="4"/>
  <c r="I97" i="3"/>
  <c r="L96" i="3"/>
  <c r="K96" i="3"/>
  <c r="J96" i="3"/>
  <c r="L95" i="3"/>
  <c r="K95" i="3"/>
  <c r="J95" i="3"/>
  <c r="L94" i="3"/>
  <c r="K94" i="3"/>
  <c r="J94" i="3"/>
  <c r="L93" i="3"/>
  <c r="K93" i="3"/>
  <c r="J93" i="3"/>
  <c r="L92" i="3"/>
  <c r="K92" i="3"/>
  <c r="J92" i="3"/>
  <c r="J88" i="3"/>
  <c r="J89" i="3" s="1"/>
  <c r="F21" i="5" s="1"/>
  <c r="J87" i="3"/>
  <c r="J86" i="3"/>
  <c r="C21" i="5" s="1"/>
  <c r="C86" i="3"/>
  <c r="B86" i="3"/>
  <c r="A86" i="3"/>
  <c r="J85" i="3"/>
  <c r="J84" i="3"/>
  <c r="J82" i="3" a="1"/>
  <c r="J82" i="3"/>
  <c r="N21" i="5" s="1"/>
  <c r="B46" i="5" s="1"/>
  <c r="J81" i="3"/>
  <c r="M21" i="5" s="1"/>
  <c r="J80" i="3"/>
  <c r="L21" i="5" s="1"/>
  <c r="J79" i="3"/>
  <c r="K21" i="5" s="1"/>
  <c r="J78" i="3"/>
  <c r="J21" i="5" s="1"/>
  <c r="J77" i="3"/>
  <c r="I21" i="5" s="1"/>
  <c r="G77" i="3"/>
  <c r="F77" i="3"/>
  <c r="E77" i="3"/>
  <c r="D77" i="3"/>
  <c r="J76" i="3"/>
  <c r="H21" i="5" s="1"/>
  <c r="G76" i="3"/>
  <c r="F76" i="3"/>
  <c r="E76" i="3"/>
  <c r="D76" i="3"/>
  <c r="J75" i="3"/>
  <c r="G75" i="3"/>
  <c r="F75" i="3"/>
  <c r="E75" i="3"/>
  <c r="D75" i="3"/>
  <c r="J74" i="3"/>
  <c r="G21" i="5" s="1"/>
  <c r="G74" i="3"/>
  <c r="G73" i="3"/>
  <c r="B68" i="3"/>
  <c r="B67" i="3"/>
  <c r="B66" i="3"/>
  <c r="G52" i="3"/>
  <c r="G51" i="3"/>
  <c r="C51" i="3"/>
  <c r="B51" i="3"/>
  <c r="A51" i="3"/>
  <c r="G50" i="3"/>
  <c r="G49" i="3"/>
  <c r="F14" i="5" s="1"/>
  <c r="G48" i="3"/>
  <c r="D14" i="5" s="1"/>
  <c r="G47" i="3"/>
  <c r="C14" i="5" s="1"/>
  <c r="G14" i="5" s="1"/>
  <c r="H14" i="5" s="1"/>
  <c r="G46" i="3"/>
  <c r="G45" i="3"/>
  <c r="B14" i="5" s="1"/>
  <c r="C38" i="3"/>
  <c r="B38" i="3"/>
  <c r="C37" i="3"/>
  <c r="B37" i="3"/>
  <c r="C36" i="3"/>
  <c r="B36" i="3"/>
  <c r="B33" i="3"/>
  <c r="C32" i="3"/>
  <c r="B32" i="3"/>
  <c r="I97" i="1"/>
  <c r="L96" i="1"/>
  <c r="K96" i="1"/>
  <c r="J96" i="1"/>
  <c r="L95" i="1"/>
  <c r="K95" i="1"/>
  <c r="J95" i="1"/>
  <c r="L94" i="1"/>
  <c r="K94" i="1"/>
  <c r="J94" i="1"/>
  <c r="L93" i="1"/>
  <c r="K93" i="1"/>
  <c r="J93" i="1"/>
  <c r="L92" i="1"/>
  <c r="K92" i="1"/>
  <c r="J92" i="1"/>
  <c r="J88" i="1"/>
  <c r="J89" i="1" s="1"/>
  <c r="F20" i="5" s="1"/>
  <c r="J87" i="1"/>
  <c r="J86" i="1"/>
  <c r="C20" i="5" s="1"/>
  <c r="C86" i="1"/>
  <c r="B86" i="1"/>
  <c r="A86" i="1"/>
  <c r="J85" i="1"/>
  <c r="J84" i="1"/>
  <c r="J82" i="1" a="1"/>
  <c r="J82" i="1"/>
  <c r="N20" i="5" s="1"/>
  <c r="B45" i="5" s="1"/>
  <c r="J81" i="1"/>
  <c r="M20" i="5" s="1"/>
  <c r="J80" i="1"/>
  <c r="L20" i="5" s="1"/>
  <c r="J79" i="1"/>
  <c r="K20" i="5" s="1"/>
  <c r="J78" i="1"/>
  <c r="J20" i="5" s="1"/>
  <c r="J77" i="1"/>
  <c r="I20" i="5" s="1"/>
  <c r="G77" i="1"/>
  <c r="F77" i="1"/>
  <c r="E77" i="1"/>
  <c r="D77" i="1"/>
  <c r="J76" i="1"/>
  <c r="C5" i="6" s="1"/>
  <c r="G76" i="1"/>
  <c r="F76" i="1"/>
  <c r="E76" i="1"/>
  <c r="D76" i="1"/>
  <c r="J75" i="1"/>
  <c r="G75" i="1"/>
  <c r="F75" i="1"/>
  <c r="E75" i="1"/>
  <c r="D75" i="1"/>
  <c r="J74" i="1"/>
  <c r="C4" i="6" s="1"/>
  <c r="G74" i="1"/>
  <c r="G73" i="1"/>
  <c r="G52" i="1"/>
  <c r="G51" i="1"/>
  <c r="C51" i="1"/>
  <c r="B51" i="1"/>
  <c r="A51" i="1"/>
  <c r="G50" i="1"/>
  <c r="G49" i="1"/>
  <c r="F13" i="5" s="1"/>
  <c r="G48" i="1"/>
  <c r="D13" i="5" s="1"/>
  <c r="G47" i="1"/>
  <c r="C3" i="6" s="1"/>
  <c r="G46" i="1"/>
  <c r="G45" i="1"/>
  <c r="B13" i="5" s="1"/>
  <c r="C38" i="1"/>
  <c r="B38" i="1"/>
  <c r="C37" i="1"/>
  <c r="B37" i="1"/>
  <c r="C36" i="1"/>
  <c r="B36" i="1"/>
  <c r="B33" i="1"/>
  <c r="C32" i="1"/>
  <c r="B32" i="1"/>
  <c r="C13" i="5" l="1"/>
  <c r="G13" i="5"/>
  <c r="C2" i="6"/>
  <c r="G20" i="5"/>
  <c r="H20" i="5"/>
  <c r="P20" i="5"/>
  <c r="Q20" i="5" s="1"/>
  <c r="P21" i="5"/>
  <c r="Q21" i="5" s="1"/>
  <c r="P22" i="5"/>
  <c r="H13" i="5" l="1"/>
  <c r="B7" i="5" a="1"/>
  <c r="B7" i="5" s="1"/>
  <c r="Q22" i="5"/>
</calcChain>
</file>

<file path=xl/sharedStrings.xml><?xml version="1.0" encoding="utf-8"?>
<sst xmlns="http://schemas.openxmlformats.org/spreadsheetml/2006/main" count="622" uniqueCount="220">
  <si>
    <t>CONSTRUCTION SITE OF THE FUTURE</t>
  </si>
  <si>
    <t>Human-Robot Collaboration Design Challenge</t>
  </si>
  <si>
    <t>TEAM A DECISION SHEET</t>
  </si>
  <si>
    <t>Team Name</t>
  </si>
  <si>
    <t>Architecture Lead</t>
  </si>
  <si>
    <t>Robot Engineer</t>
  </si>
  <si>
    <t>Cost Manager</t>
  </si>
  <si>
    <t>PROJECT SCENARIO</t>
  </si>
  <si>
    <t>Your team has been hired to plan material delivery operations for a new high-rise office building. Construction materials must move from a temporary storage area to multiple work zones. The client wants the work completed quickly, safely, and within budget. Because of labour shortages and interest in automation, your team may combine human workers and construction robots.</t>
  </si>
  <si>
    <t>PROJECT REQUIREMENTS</t>
  </si>
  <si>
    <t>Requirement</t>
  </si>
  <si>
    <t>Value</t>
  </si>
  <si>
    <t>Project Duration</t>
  </si>
  <si>
    <t>5 Days</t>
  </si>
  <si>
    <t>Total Materials</t>
  </si>
  <si>
    <t>100 Material Loads</t>
  </si>
  <si>
    <t>Required Capacity</t>
  </si>
  <si>
    <t>20 Loads / Day</t>
  </si>
  <si>
    <t>Budget Limit</t>
  </si>
  <si>
    <t>200 Credits</t>
  </si>
  <si>
    <t>TEAM ROLES</t>
  </si>
  <si>
    <t>Role</t>
  </si>
  <si>
    <t>Focus</t>
  </si>
  <si>
    <t>Discussion Lens</t>
  </si>
  <si>
    <t>Worker wellbeing; safe site operation; practical implementation</t>
  </si>
  <si>
    <t>Can this work safely on a real site?</t>
  </si>
  <si>
    <t>Automation; productivity; technical performance</t>
  </si>
  <si>
    <t>How can robots improve throughput?</t>
  </si>
  <si>
    <t>Budget control; resource efficiency</t>
  </si>
  <si>
    <t>Is the solution affordable and efficient?</t>
  </si>
  <si>
    <t>AVAILABLE RESOURCES</t>
  </si>
  <si>
    <t>Human Resources</t>
  </si>
  <si>
    <t>Cost</t>
  </si>
  <si>
    <t>Capacity</t>
  </si>
  <si>
    <t>Support Rule</t>
  </si>
  <si>
    <t>Construction Material Worker</t>
  </si>
  <si>
    <t>Manual material transport worker; adds 1 load/day.</t>
  </si>
  <si>
    <t>Robot Support Worker</t>
  </si>
  <si>
    <t>0 Loads / Day</t>
  </si>
  <si>
    <t>Supports robot operations; does not add direct transport capacity.</t>
  </si>
  <si>
    <t>Robot Resources</t>
  </si>
  <si>
    <t>Delivery Robot</t>
  </si>
  <si>
    <t>Quadruped Robot</t>
  </si>
  <si>
    <t>Multi-Robot Fleet</t>
  </si>
  <si>
    <t>ROUND 1 - COST-DRIVEN DESIGN</t>
  </si>
  <si>
    <t>Client Objective: deliver the project at the lowest possible cost. Select resources, then check whether the solution is feasible.</t>
  </si>
  <si>
    <t>Resource Selection</t>
  </si>
  <si>
    <t>Quantity</t>
  </si>
  <si>
    <t>Notes</t>
  </si>
  <si>
    <t>Dashboard Results</t>
  </si>
  <si>
    <t>Auto-Calculated</t>
  </si>
  <si>
    <t>Construction Material Workers</t>
  </si>
  <si>
    <t>Manual transport capacity</t>
  </si>
  <si>
    <t>Robot Support Workers</t>
  </si>
  <si>
    <t>Dedicated support for robot operation</t>
  </si>
  <si>
    <t>Delivery Robots</t>
  </si>
  <si>
    <t>Quadruped Robots</t>
  </si>
  <si>
    <t>Capacity Check</t>
  </si>
  <si>
    <t>Multi-Robot Fleets</t>
  </si>
  <si>
    <t>Total Cost</t>
  </si>
  <si>
    <t>Site Resource Visual</t>
  </si>
  <si>
    <t>Estimated Project Duration</t>
  </si>
  <si>
    <t>Schedule Status</t>
  </si>
  <si>
    <t>Round 1 Team Discussion</t>
  </si>
  <si>
    <t>Capacity Target Achievement</t>
  </si>
  <si>
    <t>Round 1 Winner Rule</t>
  </si>
  <si>
    <t>Lowest-cost feasible solution wins.</t>
  </si>
  <si>
    <t>ROUND 2 - TARGET VALUE DESIGN</t>
  </si>
  <si>
    <t>The client has revised the project priorities. Cost remains important, but the client also wants improved Productivity, Operational Safety, and Manual Physical Effort Reduction. Your goal is to pass all Round 2 constraints and maximize the strategy-weighted Final Value Score. Robot type affects strategy-weighted Final Value Scores. Selected HRC Strategy only changes scoring weights; it does not directly add or subtract points.</t>
  </si>
  <si>
    <t>Step 1 - Select HRC Strategy</t>
  </si>
  <si>
    <t>Robot-Led</t>
  </si>
  <si>
    <t>Collaborative</t>
  </si>
  <si>
    <t>Human-Led</t>
  </si>
  <si>
    <t>Scoring Lens</t>
  </si>
  <si>
    <t>Rule</t>
  </si>
  <si>
    <t>Productivity</t>
  </si>
  <si>
    <t>Final Value Score</t>
  </si>
  <si>
    <t>Weighted by selected HRC Strategy</t>
  </si>
  <si>
    <t>Operational Safety</t>
  </si>
  <si>
    <t>Manual Effort Reduction</t>
  </si>
  <si>
    <t>Selected Strategy</t>
  </si>
  <si>
    <t>Winner</t>
  </si>
  <si>
    <t>Highest strategy-weighted score among eligible teams; lower cost breaks ties; strategy alignment is feedback only</t>
  </si>
  <si>
    <t>Step 2 - Resource Selection</t>
  </si>
  <si>
    <t>Auto Cost</t>
  </si>
  <si>
    <t>Step 3/4 - Auto Performance and Eligibility</t>
  </si>
  <si>
    <t>Auto Value</t>
  </si>
  <si>
    <t>Net Daily Capacity</t>
  </si>
  <si>
    <t>Total</t>
  </si>
  <si>
    <t>Manual Physical Effort Reduction</t>
  </si>
  <si>
    <t>Estimated Completion Time</t>
  </si>
  <si>
    <t>Robot Resource Share</t>
  </si>
  <si>
    <t>Robot Capacity Share</t>
  </si>
  <si>
    <t>Actual Operational Mode</t>
  </si>
  <si>
    <t>Strategy–Operation Alignment</t>
  </si>
  <si>
    <t>Round 2 Constraint Verification</t>
  </si>
  <si>
    <t>Target Requirement</t>
  </si>
  <si>
    <t>Actual Value</t>
  </si>
  <si>
    <t>Target</t>
  </si>
  <si>
    <t>Status</t>
  </si>
  <si>
    <t>WINNER DETERMINATION</t>
  </si>
  <si>
    <t>Budget</t>
  </si>
  <si>
    <t>Round</t>
  </si>
  <si>
    <t>Winner Rule</t>
  </si>
  <si>
    <t>Round 1</t>
  </si>
  <si>
    <t>Round 2</t>
  </si>
  <si>
    <t>Highest strategy-weighted Final Value Score among eligible teams wins.</t>
  </si>
  <si>
    <t>Tie-breaker</t>
  </si>
  <si>
    <t>If tied in Round 2, the lower-cost eligible solution wins.</t>
  </si>
  <si>
    <t>Strategy–Operation Alignment Penalty</t>
  </si>
  <si>
    <t>Final Team Recommendation (one sentence)</t>
  </si>
  <si>
    <t>Facilitator note: yellow cells are editable inputs. Blue dashboard cells calculate automatically. The Scoring Backend sheet contains editable costs, capacities, value weights, constraints, and the 50 / 50 / 50 baseline scoring assumption.</t>
  </si>
  <si>
    <t>SCORING BACKEND - Editable Workshop Parameters</t>
  </si>
  <si>
    <t>Resource</t>
  </si>
  <si>
    <t>Daily Capacity</t>
  </si>
  <si>
    <t>Resource Note</t>
  </si>
  <si>
    <t>Manual material transport worker. Directly produces transport capacity.</t>
  </si>
  <si>
    <t>Supports robot operation only; does not add manual transport capacity.</t>
  </si>
  <si>
    <t>Robot transport capacity.</t>
  </si>
  <si>
    <t>Fleet transport capacity.</t>
  </si>
  <si>
    <t>HRC Strategy Weights</t>
  </si>
  <si>
    <t>Robot Type</t>
  </si>
  <si>
    <t>Cost / Unit</t>
  </si>
  <si>
    <t>Productivity Effect</t>
  </si>
  <si>
    <t>Safety Effect</t>
  </si>
  <si>
    <t>Manual Effort Effect</t>
  </si>
  <si>
    <t>Performance Criteria</t>
  </si>
  <si>
    <t>Note</t>
  </si>
  <si>
    <t>Selected strategy changes weighting only</t>
  </si>
  <si>
    <t>No direct strategy bonus/penalty</t>
  </si>
  <si>
    <t>Robot choices create performance effects</t>
  </si>
  <si>
    <t>Project Parameter</t>
  </si>
  <si>
    <t>Value Constraint</t>
  </si>
  <si>
    <t>Metric</t>
  </si>
  <si>
    <t>Weight</t>
  </si>
  <si>
    <t>Higher Means</t>
  </si>
  <si>
    <t>Project Duration (Days)</t>
  </si>
  <si>
    <t>Faster / more efficient task execution</t>
  </si>
  <si>
    <t>Total Materials (Material Loads)</t>
  </si>
  <si>
    <t>Minimum Operational Safety</t>
  </si>
  <si>
    <t>Lower accident or hazardous-event likelihood</t>
  </si>
  <si>
    <t>Required Capacity (Loads / Day)</t>
  </si>
  <si>
    <t>Minimum Productivity</t>
  </si>
  <si>
    <t>Less lifting, carrying, fatigue, and strain</t>
  </si>
  <si>
    <t>Budget Limit (Credits)</t>
  </si>
  <si>
    <t>Minimum Manual Physical Effort Reduction</t>
  </si>
  <si>
    <t>Base Productivity Score</t>
  </si>
  <si>
    <t>Human-Led Guidance Share</t>
  </si>
  <si>
    <t>Robot Capacity Share &lt; 35%</t>
  </si>
  <si>
    <t>Base Operational Safety Score</t>
  </si>
  <si>
    <t>Collaborative Min Share</t>
  </si>
  <si>
    <t>Robot Capacity Share &gt;= 35%</t>
  </si>
  <si>
    <t>Base Manual Physical Effort Reduction Score</t>
  </si>
  <si>
    <t>Collaborative Max Share</t>
  </si>
  <si>
    <t>Robot Capacity Share &lt;= 75%</t>
  </si>
  <si>
    <t>Robot-Led Guidance Share</t>
  </si>
  <si>
    <t>Robot Capacity Share &gt; 75%</t>
  </si>
  <si>
    <t>Alignment Penalty</t>
  </si>
  <si>
    <t>Deducted from Final Value Score when Selected Strategy and Actual Operational Mode are misaligned</t>
  </si>
  <si>
    <t>SCORING NOTE</t>
  </si>
  <si>
    <t>TEAM B DECISION SHEET</t>
  </si>
  <si>
    <t>TEAM C DECISION SHEET</t>
  </si>
  <si>
    <t>WORKSHOP SUMMARY - TEAM COMPARISON</t>
  </si>
  <si>
    <t>This dashboard compares Team A, Team B, and Team C. The game now separates worker allocation into Construction Material Workers and Robot Support Workers. Construction Material Workers create manual transport capacity; Robot Support Workers only support robots. Round 1 rewards the lowest-cost capacity-and-support feasible solution. Round 2 uses target value design: teams must pass core constraints first. Robot type affects Final Value Scores, while Selected HRC Strategy changes the weights used in Final Value Score.</t>
  </si>
  <si>
    <t>Winner Dashboard</t>
  </si>
  <si>
    <t>Result</t>
  </si>
  <si>
    <t>Round 1 Winner</t>
  </si>
  <si>
    <t>Round 2 Winner</t>
  </si>
  <si>
    <t>Round 2 Tie-Breaker</t>
  </si>
  <si>
    <t>Highest penalty-adjusted Final Value Score among eligible teams, then lowest cost</t>
  </si>
  <si>
    <t>Round 1 Comparison</t>
  </si>
  <si>
    <t>Budget Check</t>
  </si>
  <si>
    <t>Feasible?</t>
  </si>
  <si>
    <t>Winner Score</t>
  </si>
  <si>
    <t>Team A</t>
  </si>
  <si>
    <t>Team B</t>
  </si>
  <si>
    <t>Team C</t>
  </si>
  <si>
    <t>Round 2 Comparison</t>
  </si>
  <si>
    <t>Penalty-Adjusted Final Value Score</t>
  </si>
  <si>
    <t>Eligible?</t>
  </si>
  <si>
    <t>Tie-Break Score</t>
  </si>
  <si>
    <t>Winner?</t>
  </si>
  <si>
    <t>Test</t>
  </si>
  <si>
    <t>Expected logic</t>
  </si>
  <si>
    <t>Formula / Link</t>
  </si>
  <si>
    <t>Round 1 capacity</t>
  </si>
  <si>
    <t>material workers + robot capacity</t>
  </si>
  <si>
    <t>Check after input</t>
  </si>
  <si>
    <t>B45 material, B46 support, B47:B49 robots</t>
  </si>
  <si>
    <t>Round 1 support</t>
  </si>
  <si>
    <t>support workers &gt;= robot support load</t>
  </si>
  <si>
    <t>B46 compared with G46</t>
  </si>
  <si>
    <t>Round 2 capacity</t>
  </si>
  <si>
    <t>B73 material, B74 support, B75:B77 robots</t>
  </si>
  <si>
    <t>Round 2 support</t>
  </si>
  <si>
    <t>B74 compared with J75</t>
  </si>
  <si>
    <t>Human Support Requirement</t>
  </si>
  <si>
    <t>0.5 support workers per Delivery Robot</t>
  </si>
  <si>
    <t>1 support worker per Quadruped Robot</t>
  </si>
  <si>
    <t>3 support workers per Multi-Robot Fleet</t>
  </si>
  <si>
    <t>Required Robot Support Workers</t>
  </si>
  <si>
    <t>0.5 support workers per robot</t>
  </si>
  <si>
    <t>Support Worker Check</t>
  </si>
  <si>
    <t>1 support worker per robot</t>
  </si>
  <si>
    <t>3 support workers per fleet</t>
  </si>
  <si>
    <t>HUMAN SUPPORT REQUIREMENTS</t>
  </si>
  <si>
    <t>Support Coefficient</t>
  </si>
  <si>
    <t>Participant Meaning</t>
  </si>
  <si>
    <t>Support Requirement per Delivery Robot</t>
  </si>
  <si>
    <t>0.5 Robot Support Workers per Delivery Robot</t>
  </si>
  <si>
    <t>Support Requirement per Quadruped Robot</t>
  </si>
  <si>
    <t>1 Robot Support Worker per Quadruped Robot</t>
  </si>
  <si>
    <t>Support Requirement per Multi-Robot Fleet</t>
  </si>
  <si>
    <t>3 Robot Support Workers per Multi-Robot Fleet</t>
  </si>
  <si>
    <t>SCORING NOTE: Team sheets use two worker pools. Construction Material Workers directly create manual transport capacity. Robot Support Workers are reserved for robot operation and only satisfy robot support requirements; they do not create manual transport capacity. Total capacity = material-worker capacity + robot capacity. Required Robot Support Workers = 0.5 × Delivery Robots + 1 × Quadruped Robots + 3 × Multi-Robot Fleets. Support check = Robot Support Workers &gt;= Required Robot Support Workers.</t>
  </si>
  <si>
    <t>Chart Team</t>
  </si>
  <si>
    <t>Team recommendation section</t>
  </si>
  <si>
    <t>Only final one-sentence recommendation remains</t>
  </si>
  <si>
    <t>Team sheets A99 only</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</si>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</sst>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 days&quot;"/>
    <numFmt numFmtId="165" formatCode="0.0"/>
  </numFmts>
  <fonts count="33" x14ac:knownFonts="1">
    <font>
      <sz val="11"/>
      <color rgb="FF000000"/>
      <name val="Calibri"/>
    </font>
    <font>
      <b/>
      <sz val="18"/>
      <color rgb="FFFFFFFF"/>
      <name val="Aptos"/>
    </font>
    <font>
      <sz val="11"/>
      <color rgb="FF000000"/>
      <name val="Calibri"/>
      <family val="2"/>
    </font>
    <font>
      <b/>
      <sz val="13"/>
      <color rgb="FF17365D"/>
      <name val="Aptos"/>
    </font>
    <font>
      <sz val="11"/>
      <color theme="1"/>
      <name val="Aptos"/>
    </font>
    <font>
      <b/>
      <sz val="13"/>
      <color rgb="FFFFFFFF"/>
      <name val="Aptos"/>
    </font>
    <font>
      <sz val="11"/>
      <color theme="1"/>
      <name val="Arial"/>
      <family val="2"/>
    </font>
    <font>
      <b/>
      <sz val="12"/>
      <color rgb="FFFFFFFF"/>
      <name val="Aptos"/>
    </font>
    <font>
      <b/>
      <sz val="11"/>
      <color rgb="FFFFFFFF"/>
      <name val="Aptos"/>
    </font>
    <font>
      <b/>
      <sz val="11"/>
      <color rgb="FF0F766E"/>
      <name val="Aptos"/>
    </font>
    <font>
      <b/>
      <sz val="11"/>
      <color rgb="FF172033"/>
      <name val="Aptos"/>
    </font>
    <font>
      <b/>
      <sz val="11"/>
      <color rgb="FF0F172A"/>
      <name val="Aptos"/>
    </font>
    <font>
      <b/>
      <sz val="14"/>
      <color rgb="FF172033"/>
      <name val="Aptos"/>
    </font>
    <font>
      <b/>
      <sz val="11"/>
      <color theme="1"/>
      <name val="Consolas"/>
      <family val="2"/>
    </font>
    <font>
      <b/>
      <sz val="11"/>
      <color rgb="FFFFFFFF"/>
      <name val="Cambria"/>
      <family val="1"/>
    </font>
    <font>
      <b/>
      <sz val="11"/>
      <color theme="1"/>
      <name val="Cambria"/>
      <family val="1"/>
    </font>
    <font>
      <sz val="11"/>
      <color theme="1"/>
      <name val="Calibri"/>
      <family val="2"/>
    </font>
    <font>
      <b/>
      <sz val="11"/>
      <color rgb="FFFFFFFF"/>
      <name val="Arial"/>
      <family val="2"/>
    </font>
    <font>
      <sz val="11"/>
      <color rgb="FF000000"/>
      <name val="Cambria"/>
      <family val="1"/>
    </font>
    <font>
      <sz val="11"/>
      <color rgb="FF000000"/>
      <name val="Aptos"/>
    </font>
    <font>
      <sz val="11"/>
      <color rgb="FF000000"/>
      <name val="Consolas"/>
      <family val="2"/>
    </font>
    <font>
      <b/>
      <sz val="11"/>
      <color rgb="FFFFFFFF"/>
      <name val="Calibri"/>
      <family val="2"/>
    </font>
    <font>
      <sz val="11"/>
      <name val="Calibri"/>
      <family val="2"/>
    </font>
    <font>
      <b/>
      <sz val="10"/>
      <color rgb="FFFFFFFF"/>
      <name val="Calibri"/>
      <family val="2"/>
    </font>
    <font>
      <b/>
      <sz val="11"/>
      <color rgb="FF111827"/>
      <name val="Calibri"/>
      <family val="2"/>
    </font>
    <font>
      <sz val="11"/>
      <color rgb="FF111827"/>
      <name val="Calibri"/>
      <family val="2"/>
    </font>
    <font>
      <b/>
      <sz val="11"/>
      <color rgb="FF274E13"/>
      <name val="Calibri"/>
      <family val="2"/>
    </font>
    <font>
      <b/>
      <sz val="10"/>
      <color rgb="FF111827"/>
      <name val="Calibri"/>
      <family val="2"/>
    </font>
    <font>
      <i/>
      <sz val="11"/>
      <color rgb="FF595959"/>
      <name val="Aptos"/>
    </font>
    <font>
      <b/>
      <sz val="14"/>
      <color rgb="FFFFFFFF"/>
      <name val="Aptos"/>
    </font>
    <font>
      <b/>
      <sz val="11"/>
      <color rgb="FF000000"/>
      <name val="Cambria"/>
      <family val="1"/>
    </font>
    <font>
      <b/>
      <sz val="11"/>
      <color theme="1"/>
      <name val="Aptos"/>
    </font>
    <font>
      <b/>
      <sz val="16"/>
      <color rgb="FFFFFFFF"/>
      <name val="Aptos"/>
    </font>
  </fonts>
  <fills count="18">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FFF2CC"/>
      </patternFill>
    </fill>
    <fill>
      <patternFill patternType="solid">
        <fgColor rgb="FF1F4E78"/>
      </patternFill>
    </fill>
    <fill>
      <patternFill patternType="solid">
        <fgColor rgb="FFF2F2F2"/>
      </patternFill>
    </fill>
    <fill>
      <patternFill patternType="solid">
        <fgColor rgb="FFE2F0D9"/>
      </patternFill>
    </fill>
    <fill>
      <patternFill patternType="solid">
        <fgColor rgb="FFE0F2FE"/>
      </patternFill>
    </fill>
    <fill>
      <patternFill patternType="solid">
        <fgColor rgb="FFDDEBF7"/>
      </patternFill>
    </fill>
    <fill>
      <patternFill patternType="solid">
        <fgColor rgb="FF0F7782"/>
      </patternFill>
    </fill>
    <fill>
      <patternFill patternType="solid">
        <fgColor rgb="FFDDEFF9"/>
      </patternFill>
    </fill>
    <fill>
      <patternFill patternType="solid">
        <fgColor rgb="FFEEF7FF"/>
      </patternFill>
    </fill>
    <fill>
      <patternFill patternType="solid">
        <fgColor rgb="FFFFF7ED"/>
      </patternFill>
    </fill>
    <fill>
      <patternFill patternType="solid">
        <fgColor rgb="FF0F6F7A"/>
      </patternFill>
    </fill>
    <fill>
      <patternFill patternType="solid">
        <fgColor rgb="FF0F766E"/>
      </patternFill>
    </fill>
    <fill>
      <patternFill patternType="solid">
        <fgColor rgb="FFECFDF5"/>
      </patternFill>
    </fill>
  </fills>
  <borders count="6">
    <border>
      <left/>
      <right/>
      <top/>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9E2EC"/>
      </left>
      <right style="thin">
        <color rgb="FFD9E2EC"/>
      </right>
      <top style="thin">
        <color rgb="FFD9E2EC"/>
      </top>
      <bottom style="thin">
        <color rgb="FFD9E2EC"/>
      </bottom>
      <diagonal/>
    </border>
    <border>
      <left style="thin">
        <color rgb="FFD9E2E3"/>
      </left>
      <right style="thin">
        <color rgb="FFD9E2E3"/>
      </right>
      <top style="thin">
        <color rgb="FFD9E2E3"/>
      </top>
      <bottom style="thin">
        <color rgb="FFD9E2E3"/>
      </bottom>
      <diagonal/>
    </border>
  </borders>
  <cellStyleXfs count="1">
    <xf numFmtId="0" fontId="0" fillId="0" borderId="0"/>
  </cellStyleXfs>
  <cellXfs count="94">
    <xf numFmtId="0" fontId="0" fillId="0" borderId="0" xfId="0"/>
    <xf numFmtId="0" fontId="2" fillId="0" borderId="0" xfId="0" applyFont="1"/>
    <xf numFmtId="0" fontId="4" fillId="0" borderId="0" xfId="0" applyFont="1"/>
    <xf numFmtId="0" fontId="4" fillId="5" borderId="0" xfId="0" applyFont="1" applyFill="1"/>
    <xf numFmtId="0" fontId="6" fillId="5" borderId="0" xfId="0" applyFont="1" applyFill="1"/>
    <xf numFmtId="0" fontId="7" fillId="6" borderId="0" xfId="0" applyFont="1" applyFill="1" applyAlignment="1">
      <alignment horizontal="left"/>
    </xf>
    <xf numFmtId="0" fontId="8" fillId="4" borderId="0" xfId="0" applyFont="1" applyFill="1" applyAlignment="1">
      <alignment horizontal="center" vertical="center" wrapText="1"/>
    </xf>
    <xf numFmtId="0" fontId="4" fillId="0" borderId="0" xfId="0" applyFont="1" applyAlignment="1">
      <alignment vertical="center" wrapText="1"/>
    </xf>
    <xf numFmtId="0" fontId="8" fillId="4" borderId="0" xfId="0" applyFont="1" applyFill="1" applyAlignment="1">
      <alignment vertical="center" wrapText="1"/>
    </xf>
    <xf numFmtId="0" fontId="6" fillId="0" borderId="0" xfId="0" applyFont="1"/>
    <xf numFmtId="0" fontId="6" fillId="5" borderId="0" xfId="0" applyFont="1" applyFill="1" applyAlignment="1">
      <alignment vertical="center" wrapText="1"/>
    </xf>
    <xf numFmtId="0" fontId="6" fillId="0" borderId="0" xfId="0" applyFont="1" applyAlignment="1">
      <alignment vertical="center" wrapText="1"/>
    </xf>
    <xf numFmtId="0" fontId="4" fillId="3" borderId="0" xfId="0" applyFont="1" applyFill="1" applyAlignment="1">
      <alignment vertical="center" wrapText="1"/>
    </xf>
    <xf numFmtId="0" fontId="9" fillId="8" borderId="0" xfId="0" applyFont="1" applyFill="1" applyAlignment="1">
      <alignment vertical="center" wrapText="1"/>
    </xf>
    <xf numFmtId="0" fontId="10" fillId="8" borderId="0" xfId="0" applyFont="1" applyFill="1" applyAlignment="1">
      <alignment vertical="center" wrapText="1"/>
    </xf>
    <xf numFmtId="0" fontId="11" fillId="9" borderId="0" xfId="0" applyFont="1" applyFill="1" applyAlignment="1">
      <alignment vertical="center" wrapText="1"/>
    </xf>
    <xf numFmtId="164" fontId="4" fillId="9" borderId="0" xfId="0" applyNumberFormat="1" applyFont="1" applyFill="1" applyAlignment="1">
      <alignment vertical="center" wrapText="1"/>
    </xf>
    <xf numFmtId="0" fontId="12" fillId="8" borderId="0" xfId="0" applyFont="1" applyFill="1" applyAlignment="1">
      <alignment vertical="center" wrapText="1"/>
    </xf>
    <xf numFmtId="0" fontId="4" fillId="9" borderId="0" xfId="0" applyFont="1" applyFill="1" applyAlignment="1">
      <alignment vertical="center" wrapText="1"/>
    </xf>
    <xf numFmtId="0" fontId="13" fillId="9" borderId="0" xfId="0" applyFont="1" applyFill="1" applyAlignment="1">
      <alignment vertical="center" wrapText="1"/>
    </xf>
    <xf numFmtId="0" fontId="4" fillId="5" borderId="0" xfId="0" applyFont="1" applyFill="1" applyAlignment="1">
      <alignment vertical="center" wrapText="1"/>
    </xf>
    <xf numFmtId="0" fontId="14" fillId="6" borderId="0" xfId="0" applyFont="1" applyFill="1" applyAlignment="1">
      <alignment horizontal="center" vertical="center" wrapText="1"/>
    </xf>
    <xf numFmtId="0" fontId="15" fillId="3" borderId="0" xfId="0" applyFont="1" applyFill="1" applyAlignment="1">
      <alignment horizontal="left" vertical="center"/>
    </xf>
    <xf numFmtId="9" fontId="16" fillId="0" borderId="0" xfId="0" applyNumberFormat="1" applyFont="1" applyAlignment="1">
      <alignment horizontal="center" vertical="center"/>
    </xf>
    <xf numFmtId="0" fontId="4" fillId="0" borderId="0" xfId="0" applyFont="1" applyAlignment="1">
      <alignment wrapText="1"/>
    </xf>
    <xf numFmtId="0" fontId="17" fillId="4" borderId="0" xfId="0" applyFont="1" applyFill="1" applyAlignment="1">
      <alignment vertical="center" wrapText="1"/>
    </xf>
    <xf numFmtId="0" fontId="18" fillId="0" borderId="0" xfId="0" applyFont="1" applyAlignment="1">
      <alignment vertical="center" wrapText="1"/>
    </xf>
    <xf numFmtId="0" fontId="2" fillId="0" borderId="0" xfId="0" applyFont="1" applyAlignment="1">
      <alignment vertical="center" wrapText="1"/>
    </xf>
    <xf numFmtId="165" fontId="4" fillId="3" borderId="0" xfId="0" applyNumberFormat="1" applyFont="1" applyFill="1" applyAlignment="1">
      <alignment vertical="center" wrapText="1"/>
    </xf>
    <xf numFmtId="0" fontId="10" fillId="10" borderId="0" xfId="0" applyFont="1" applyFill="1" applyAlignment="1">
      <alignment vertical="center" wrapText="1"/>
    </xf>
    <xf numFmtId="164" fontId="19" fillId="10" borderId="0" xfId="0" applyNumberFormat="1" applyFont="1" applyFill="1" applyAlignment="1">
      <alignment vertical="center" wrapText="1"/>
    </xf>
    <xf numFmtId="9" fontId="20" fillId="10" borderId="0" xfId="0" applyNumberFormat="1" applyFont="1" applyFill="1" applyAlignment="1">
      <alignment vertical="center" wrapText="1"/>
    </xf>
    <xf numFmtId="0" fontId="19" fillId="10" borderId="0" xfId="0" applyFont="1" applyFill="1" applyAlignment="1">
      <alignment vertical="center" wrapText="1"/>
    </xf>
    <xf numFmtId="0" fontId="23" fillId="6" borderId="4" xfId="0" applyFont="1" applyFill="1" applyBorder="1" applyAlignment="1">
      <alignment vertical="center" wrapText="1"/>
    </xf>
    <xf numFmtId="0" fontId="24" fillId="12" borderId="4" xfId="0" applyFont="1" applyFill="1" applyBorder="1" applyAlignment="1">
      <alignment vertical="center" wrapText="1"/>
    </xf>
    <xf numFmtId="165" fontId="25" fillId="12" borderId="4" xfId="0" applyNumberFormat="1" applyFont="1" applyFill="1" applyBorder="1" applyAlignment="1">
      <alignment vertical="center" wrapText="1"/>
    </xf>
    <xf numFmtId="0" fontId="25" fillId="12" borderId="4" xfId="0" applyFont="1" applyFill="1" applyBorder="1" applyAlignment="1">
      <alignment vertical="center" wrapText="1"/>
    </xf>
    <xf numFmtId="1" fontId="25" fillId="12" borderId="4" xfId="0" applyNumberFormat="1" applyFont="1" applyFill="1" applyBorder="1" applyAlignment="1">
      <alignment vertical="center" wrapText="1"/>
    </xf>
    <xf numFmtId="0" fontId="24" fillId="13" borderId="4" xfId="0" applyFont="1" applyFill="1" applyBorder="1" applyAlignment="1">
      <alignment vertical="center" wrapText="1"/>
    </xf>
    <xf numFmtId="1" fontId="25" fillId="13" borderId="4" xfId="0" applyNumberFormat="1" applyFont="1" applyFill="1" applyBorder="1" applyAlignment="1">
      <alignment vertical="center" wrapText="1"/>
    </xf>
    <xf numFmtId="0" fontId="25" fillId="13" borderId="4" xfId="0" applyFont="1" applyFill="1" applyBorder="1" applyAlignment="1">
      <alignment vertical="center" wrapText="1"/>
    </xf>
    <xf numFmtId="0" fontId="26" fillId="8" borderId="4" xfId="0" applyFont="1" applyFill="1" applyBorder="1" applyAlignment="1">
      <alignment vertical="center" wrapText="1"/>
    </xf>
    <xf numFmtId="0" fontId="16" fillId="0" borderId="2" xfId="0" applyFont="1" applyBorder="1" applyAlignment="1">
      <alignment vertical="center" wrapText="1"/>
    </xf>
    <xf numFmtId="0" fontId="16" fillId="0" borderId="3" xfId="0" applyFont="1" applyBorder="1" applyAlignment="1">
      <alignment vertical="center" wrapText="1"/>
    </xf>
    <xf numFmtId="0" fontId="16" fillId="0" borderId="0" xfId="0" applyFont="1"/>
    <xf numFmtId="0" fontId="28" fillId="7" borderId="0" xfId="0" applyFont="1" applyFill="1" applyAlignment="1">
      <alignment wrapText="1"/>
    </xf>
    <xf numFmtId="0" fontId="30" fillId="3" borderId="0" xfId="0" applyFont="1" applyFill="1" applyAlignment="1">
      <alignment horizontal="center" vertical="center" wrapText="1"/>
    </xf>
    <xf numFmtId="0" fontId="18" fillId="0" borderId="0" xfId="0" applyFont="1" applyAlignment="1">
      <alignment horizontal="center" vertical="center" wrapText="1"/>
    </xf>
    <xf numFmtId="9" fontId="18" fillId="0" borderId="0" xfId="0" applyNumberFormat="1" applyFont="1" applyAlignment="1">
      <alignment horizontal="center" vertical="center" wrapText="1"/>
    </xf>
    <xf numFmtId="0" fontId="4" fillId="0" borderId="0" xfId="0" applyFont="1" applyAlignment="1">
      <alignment horizontal="center" vertical="center" wrapText="1"/>
    </xf>
    <xf numFmtId="9" fontId="4" fillId="0" borderId="0" xfId="0" applyNumberFormat="1" applyFont="1" applyAlignment="1">
      <alignment horizontal="center" vertical="center" wrapText="1"/>
    </xf>
    <xf numFmtId="1" fontId="4" fillId="5" borderId="0" xfId="0" applyNumberFormat="1" applyFont="1" applyFill="1" applyAlignment="1">
      <alignment vertical="center" wrapText="1"/>
    </xf>
    <xf numFmtId="0" fontId="21" fillId="15" borderId="5" xfId="0" applyFont="1" applyFill="1" applyBorder="1" applyAlignment="1">
      <alignment wrapText="1"/>
    </xf>
    <xf numFmtId="9" fontId="4" fillId="5" borderId="5" xfId="0" applyNumberFormat="1" applyFont="1" applyFill="1" applyBorder="1" applyAlignment="1">
      <alignment horizontal="center"/>
    </xf>
    <xf numFmtId="0" fontId="31" fillId="9" borderId="0" xfId="0" applyFont="1" applyFill="1"/>
    <xf numFmtId="0" fontId="31" fillId="9" borderId="0" xfId="0" applyFont="1" applyFill="1" applyAlignment="1">
      <alignment wrapText="1"/>
    </xf>
    <xf numFmtId="9" fontId="4" fillId="0" borderId="0" xfId="0" applyNumberFormat="1" applyFont="1" applyAlignment="1">
      <alignment horizontal="center" vertical="center"/>
    </xf>
    <xf numFmtId="9" fontId="4" fillId="0" borderId="0" xfId="0" applyNumberFormat="1" applyFont="1" applyAlignment="1">
      <alignment vertical="center" wrapText="1"/>
    </xf>
    <xf numFmtId="0" fontId="8" fillId="16" borderId="0" xfId="0" applyFont="1" applyFill="1" applyAlignment="1">
      <alignment wrapText="1"/>
    </xf>
    <xf numFmtId="0" fontId="21" fillId="16" borderId="0" xfId="0" applyFont="1" applyFill="1" applyAlignment="1">
      <alignment wrapText="1"/>
    </xf>
    <xf numFmtId="0" fontId="4" fillId="17" borderId="0" xfId="0" applyFont="1" applyFill="1" applyAlignment="1">
      <alignment wrapText="1"/>
    </xf>
    <xf numFmtId="0" fontId="13" fillId="17" borderId="0" xfId="0" applyFont="1" applyFill="1" applyAlignment="1">
      <alignment wrapText="1"/>
    </xf>
    <xf numFmtId="0" fontId="16" fillId="17" borderId="0" xfId="0" applyFont="1" applyFill="1" applyAlignment="1">
      <alignment wrapText="1"/>
    </xf>
    <xf numFmtId="0" fontId="16" fillId="0" borderId="0" xfId="0" applyFont="1" applyAlignment="1">
      <alignment wrapText="1"/>
    </xf>
    <xf numFmtId="0" fontId="21" fillId="15" borderId="5" xfId="0" applyFont="1" applyFill="1" applyBorder="1" applyAlignment="1">
      <alignment horizontal="center" vertical="center" wrapText="1"/>
    </xf>
    <xf numFmtId="0" fontId="21" fillId="16" borderId="5" xfId="0" applyFont="1" applyFill="1" applyBorder="1" applyAlignment="1">
      <alignment horizontal="center" vertical="center" wrapText="1"/>
    </xf>
    <xf numFmtId="0" fontId="21" fillId="9" borderId="5" xfId="0" applyFont="1" applyFill="1" applyBorder="1" applyAlignment="1">
      <alignment horizontal="center" vertical="center" wrapText="1"/>
    </xf>
    <xf numFmtId="0" fontId="4" fillId="0" borderId="5" xfId="0" applyFont="1" applyBorder="1" applyAlignment="1">
      <alignment horizontal="center" vertical="center" wrapText="1"/>
    </xf>
    <xf numFmtId="9" fontId="4" fillId="0" borderId="5" xfId="0" applyNumberFormat="1" applyFont="1" applyBorder="1" applyAlignment="1">
      <alignment horizontal="center" vertical="center" wrapText="1"/>
    </xf>
    <xf numFmtId="0" fontId="4" fillId="9" borderId="5" xfId="0" applyFont="1" applyFill="1" applyBorder="1" applyAlignment="1">
      <alignment horizontal="center" vertical="center" wrapText="1"/>
    </xf>
    <xf numFmtId="0" fontId="13" fillId="9" borderId="5" xfId="0" applyFont="1" applyFill="1" applyBorder="1" applyAlignment="1">
      <alignment horizontal="center" vertical="center" wrapText="1"/>
    </xf>
    <xf numFmtId="165" fontId="4" fillId="9" borderId="5" xfId="0" applyNumberFormat="1" applyFont="1" applyFill="1" applyBorder="1" applyAlignment="1">
      <alignment horizontal="center" vertical="center" wrapText="1"/>
    </xf>
    <xf numFmtId="0" fontId="16" fillId="9" borderId="5" xfId="0" applyFont="1" applyFill="1" applyBorder="1" applyAlignment="1">
      <alignment horizontal="center" vertical="center" wrapText="1"/>
    </xf>
    <xf numFmtId="165" fontId="4" fillId="0" borderId="0" xfId="0" applyNumberFormat="1" applyFont="1"/>
    <xf numFmtId="0" fontId="21" fillId="16" borderId="0" xfId="0" applyFont="1" applyFill="1"/>
    <xf numFmtId="0" fontId="1" fillId="2" borderId="0" xfId="0" applyFont="1" applyFill="1" applyAlignment="1">
      <alignment horizontal="center"/>
    </xf>
    <xf numFmtId="0" fontId="0" fillId="0" borderId="0" xfId="0"/>
    <xf numFmtId="0" fontId="3" fillId="3" borderId="0" xfId="0" applyFont="1" applyFill="1" applyAlignment="1">
      <alignment horizontal="center"/>
    </xf>
    <xf numFmtId="0" fontId="5" fillId="4" borderId="0" xfId="0" applyFont="1" applyFill="1" applyAlignment="1">
      <alignment horizontal="center"/>
    </xf>
    <xf numFmtId="0" fontId="7" fillId="6" borderId="0" xfId="0" applyFont="1" applyFill="1" applyAlignment="1">
      <alignment horizontal="left"/>
    </xf>
    <xf numFmtId="0" fontId="4" fillId="7" borderId="0" xfId="0" applyFont="1" applyFill="1" applyAlignment="1">
      <alignment vertical="top" wrapText="1"/>
    </xf>
    <xf numFmtId="0" fontId="4" fillId="5" borderId="0" xfId="0" applyFont="1" applyFill="1" applyAlignment="1">
      <alignment vertical="center" wrapText="1"/>
    </xf>
    <xf numFmtId="0" fontId="6" fillId="5" borderId="0" xfId="0" applyFont="1" applyFill="1" applyAlignment="1">
      <alignment vertical="center" wrapText="1"/>
    </xf>
    <xf numFmtId="0" fontId="21" fillId="11" borderId="1" xfId="0" applyFont="1" applyFill="1" applyBorder="1" applyAlignment="1">
      <alignment vertical="center" wrapText="1"/>
    </xf>
    <xf numFmtId="0" fontId="22" fillId="0" borderId="2" xfId="0" applyFont="1" applyBorder="1"/>
    <xf numFmtId="0" fontId="22" fillId="0" borderId="3" xfId="0" applyFont="1" applyBorder="1"/>
    <xf numFmtId="0" fontId="27" fillId="14" borderId="1" xfId="0" applyFont="1" applyFill="1" applyBorder="1" applyAlignment="1">
      <alignment vertical="center" wrapText="1"/>
    </xf>
    <xf numFmtId="0" fontId="4" fillId="0" borderId="0" xfId="0" applyFont="1"/>
    <xf numFmtId="0" fontId="8" fillId="4" borderId="0" xfId="0" applyFont="1" applyFill="1" applyAlignment="1">
      <alignment horizontal="center" vertical="center" wrapText="1"/>
    </xf>
    <xf numFmtId="0" fontId="16" fillId="0" borderId="0" xfId="0" applyFont="1"/>
    <xf numFmtId="0" fontId="4" fillId="7" borderId="0" xfId="0" applyFont="1" applyFill="1" applyAlignment="1">
      <alignment wrapText="1"/>
    </xf>
    <xf numFmtId="0" fontId="29" fillId="2" borderId="0" xfId="0" applyFont="1" applyFill="1" applyAlignment="1">
      <alignment horizontal="center"/>
    </xf>
    <xf numFmtId="0" fontId="8" fillId="6" borderId="0" xfId="0" applyFont="1" applyFill="1"/>
    <xf numFmtId="0" fontId="32" fillId="2" borderId="0" xfId="0" applyFont="1" applyFill="1" applyAlignment="1">
      <alignment horizontal="center"/>
    </xf>
  </cellXfs>
  <cellStyles count="1">
    <cellStyle name="Normal" xfId="0" builtinId="0"/>
  </cellStyles>
  <dxfs count="57">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4CCCC"/>
        </patternFill>
      </fill>
    </dxf>
    <dxf>
      <font>
        <b/>
        <color rgb="FF006100"/>
      </font>
      <fill>
        <patternFill>
          <bgColor rgb="FFD9EAD3"/>
        </patternFill>
      </fill>
    </dxf>
    <dxf>
      <font>
        <b/>
        <color rgb="FF006100"/>
      </font>
      <fill>
        <patternFill>
          <bgColor rgb="FFD9EAD3"/>
        </patternFill>
      </fill>
    </dxf>
    <dxf>
      <font>
        <b/>
        <color rgb="FF9C0006"/>
      </font>
      <fill>
        <patternFill>
          <bgColor rgb="FFF4CCCC"/>
        </patternFill>
      </fill>
    </dxf>
    <dxf>
      <font>
        <b/>
        <color rgb="FF9C0006"/>
      </font>
      <fill>
        <patternFill>
          <bgColor rgb="FFF4CCCC"/>
        </patternFill>
      </fill>
    </dxf>
    <dxf>
      <font>
        <b/>
        <color rgb="FF006100"/>
      </font>
      <fill>
        <patternFill>
          <bgColor rgb="FFD9EAD3"/>
        </patternFill>
      </fill>
    </dxf>
    <dxf>
      <font>
        <b/>
        <color rgb="FF006100"/>
      </font>
      <fill>
        <patternFill>
          <bgColor rgb="FFD9EAD3"/>
        </patternFill>
      </fill>
    </dxf>
    <dxf>
      <font>
        <b/>
        <color rgb="FF9C0006"/>
      </font>
      <fill>
        <patternFill>
          <bgColor rgb="FFF4CCCC"/>
        </patternFill>
      </fill>
    </dxf>
    <dxf>
      <font>
        <b/>
        <color rgb="FF9C0006"/>
      </font>
      <fill>
        <patternFill>
          <bgColor rgb="FFF4CCCC"/>
        </patternFill>
      </fill>
    </dxf>
    <dxf>
      <font>
        <b/>
        <color rgb="FF006100"/>
      </font>
      <fill>
        <patternFill>
          <bgColor rgb="FFD9EAD3"/>
        </patternFill>
      </fill>
    </dxf>
    <dxf>
      <fill>
        <patternFill>
          <bgColor rgb="FFF4CCCC"/>
        </patternFill>
      </fill>
    </dxf>
    <dxf>
      <fill>
        <patternFill>
          <bgColor rgb="FFD9EAD3"/>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4CCCC"/>
        </patternFill>
      </fill>
    </dxf>
    <dxf>
      <font>
        <b/>
        <color rgb="FF006100"/>
      </font>
      <fill>
        <patternFill>
          <bgColor rgb="FFD9EAD3"/>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
      <font>
        <b/>
        <color rgb="FF9C0006"/>
      </font>
      <fill>
        <patternFill>
          <bgColor rgb="FFFCE4D6"/>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a:solidFill>
                  <a:srgbClr val="757575"/>
                </a:solidFill>
                <a:latin typeface="+mn-lt"/>
                <a:ea typeface="+mn-lt"/>
                <a:cs typeface="+mn-lt"/>
              </a:rPr>
              <a:t>Round 2 Performance Score by TeamNone</a:t>
            </a:r>
          </a:p>
        </c:rich>
      </c:tx>
      <c:overlay val="0"/>
    </c:title>
    <c:autoTitleDeleted val="0"/>
    <c:plotArea>
      <c:layout/>
      <c:barChart>
        <c:barDir val="col"/>
        <c:grouping val="clustered"/>
        <c:varyColors val="0"/>
        <c:ser>
          <c:idx val="0"/>
          <c:order val="0"/>
          <c:tx>
            <c:v>Performance Score</c:v>
          </c:tx>
          <c:spPr>
            <a:solidFill>
              <a:srgbClr val="156082"/>
            </a:solidFill>
            <a:ln cmpd="sng">
              <a:solidFill>
                <a:srgbClr val="000000"/>
              </a:solidFill>
            </a:ln>
          </c:spPr>
          <c:invertIfNegative val="1"/>
          <c:val>
            <c:numRef>
              <c:f>Summary!$B$46:$B$48</c:f>
              <c:numCache>
                <c:formatCode>0.0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1B9F-3B44-9690-95C0C82316E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a:solidFill>
                      <a:srgbClr val="000000"/>
                    </a:solidFill>
                    <a:latin typeface="+mn-lt"/>
                    <a:ea typeface="+mn-lt"/>
                    <a:cs typeface="+mn-lt"/>
                  </a:rPr>
                  <a:t>NoneNone</a:t>
                </a:r>
              </a:p>
            </c:rich>
          </c:tx>
          <c:overlay val="0"/>
        </c:title>
        <c:numFmt formatCode="General" sourceLinked="0"/>
        <c:majorTickMark val="none"/>
        <c:minorTickMark val="none"/>
        <c:tickLblPos val="nextTo"/>
        <c:txPr>
          <a:bodyPr anchorCtr="1"/>
          <a:lstStyle/>
          <a:p>
            <a:pPr>
              <a:defRPr sz="1000" b="0" i="0">
                <a:solidFill>
                  <a:srgbClr val="000000"/>
                </a:solidFill>
                <a:latin typeface="Calibri"/>
                <a:ea typeface="Calibri"/>
                <a:cs typeface="Calibri"/>
              </a:defRPr>
            </a:pPr>
            <a:endParaRPr lang="en-US"/>
          </a:p>
        </c:txPr>
        <c:crossAx val="48672768"/>
        <c:crosses val="autoZero"/>
        <c:auto val="1"/>
        <c:lblAlgn val="ctr"/>
        <c:lblOffset val="100"/>
        <c:noMultiLvlLbl val="0"/>
      </c:catAx>
      <c:valAx>
        <c:axId val="48672768"/>
        <c:scaling>
          <c:orientation val="minMax"/>
        </c:scaling>
        <c:delete val="0"/>
        <c:axPos val="l"/>
        <c:majorGridlines>
          <c:spPr>
            <a:ln>
              <a:solidFill>
                <a:srgbClr val="B7B7B7"/>
              </a:solidFill>
            </a:ln>
          </c:spPr>
        </c:majorGridlines>
        <c:title>
          <c:tx>
            <c:rich>
              <a:bodyPr/>
              <a:lstStyle/>
              <a:p>
                <a:r>
                  <a:rPr>
                    <a:solidFill>
                      <a:srgbClr val="000000"/>
                    </a:solidFill>
                    <a:latin typeface="+mn-lt"/>
                    <a:ea typeface="+mn-lt"/>
                    <a:cs typeface="+mn-lt"/>
                  </a:rPr>
                  <a:t>NoneNone</a:t>
                </a:r>
              </a:p>
            </c:rich>
          </c:tx>
          <c:overlay val="0"/>
        </c:title>
        <c:numFmt formatCode="0" sourceLinked="0"/>
        <c:majorTickMark val="none"/>
        <c:minorTickMark val="none"/>
        <c:tickLblPos val="nextTo"/>
        <c:txPr>
          <a:bodyPr anchorCtr="1"/>
          <a:lstStyle/>
          <a:p>
            <a:pPr>
              <a:defRPr sz="1000" b="0" i="0">
                <a:solidFill>
                  <a:srgbClr val="000000"/>
                </a:solidFill>
                <a:latin typeface="Calibri"/>
                <a:ea typeface="Calibri"/>
                <a:cs typeface="Calibri"/>
              </a:defRPr>
            </a:pPr>
            <a:endParaRPr lang="en-US"/>
          </a:p>
        </c:txPr>
        <c:crossAx val="486501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2095500" cy="2857500"/>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1</xdr:row>
      <xdr:rowOff>0</xdr:rowOff>
    </xdr:from>
    <xdr:ext cx="2095500" cy="2857500"/>
    <xdr:pic>
      <xdr:nvPicPr>
        <xdr:cNvPr id="2" name="/xl/media/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1</xdr:row>
      <xdr:rowOff>0</xdr:rowOff>
    </xdr:from>
    <xdr:ext cx="2095500" cy="2857500"/>
    <xdr:pic>
      <xdr:nvPicPr>
        <xdr:cNvPr id="2" name="/xl/media/image1.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24</xdr:row>
      <xdr:rowOff>0</xdr:rowOff>
    </xdr:from>
    <xdr:ext cx="10487025" cy="3590925"/>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27" workbookViewId="0">
      <selection activeCell="B49" sqref="B49"/>
    </sheetView>
  </sheetViews>
  <sheetFormatPr baseColWidth="10" defaultColWidth="14.5" defaultRowHeight="15" x14ac:dyDescent="0.2"/>
  <cols>
    <col min="1" max="1" width="37.5" customWidth="1"/>
    <col min="2" max="2" width="32.5" customWidth="1"/>
    <col min="3" max="4" width="30" customWidth="1"/>
    <col min="5" max="5" width="18" customWidth="1"/>
    <col min="6" max="6" width="30" customWidth="1"/>
    <col min="7" max="7" width="19" customWidth="1"/>
    <col min="8" max="8" width="4" customWidth="1"/>
    <col min="9" max="9" width="30" customWidth="1"/>
    <col min="10" max="11" width="22" customWidth="1"/>
    <col min="12" max="12" width="16" customWidth="1"/>
    <col min="13" max="26" width="12.5" customWidth="1"/>
  </cols>
  <sheetData>
    <row r="1" spans="1:26" ht="24" customHeight="1" x14ac:dyDescent="0.3">
      <c r="A1" s="75" t="s">
        <v>0</v>
      </c>
      <c r="B1" s="76"/>
      <c r="C1" s="76"/>
      <c r="D1" s="76"/>
      <c r="E1" s="76"/>
      <c r="F1" s="76"/>
      <c r="G1" s="76"/>
      <c r="H1" s="76"/>
      <c r="I1" s="76"/>
      <c r="J1" s="76"/>
      <c r="K1" s="1"/>
      <c r="L1" s="1"/>
      <c r="M1" s="1"/>
      <c r="N1" s="1"/>
      <c r="O1" s="1"/>
      <c r="P1" s="1"/>
      <c r="Q1" s="1"/>
      <c r="R1" s="1"/>
      <c r="S1" s="1"/>
      <c r="T1" s="1"/>
      <c r="U1" s="1"/>
      <c r="V1" s="1"/>
      <c r="W1" s="1"/>
      <c r="X1" s="1"/>
      <c r="Y1" s="1"/>
      <c r="Z1" s="1"/>
    </row>
    <row r="2" spans="1:26" ht="18" customHeight="1" x14ac:dyDescent="0.25">
      <c r="A2" s="77" t="s">
        <v>1</v>
      </c>
      <c r="B2" s="76"/>
      <c r="C2" s="76"/>
      <c r="D2" s="76"/>
      <c r="E2" s="76"/>
      <c r="F2" s="76"/>
      <c r="G2" s="76"/>
      <c r="H2" s="76"/>
      <c r="I2" s="76"/>
      <c r="J2" s="76"/>
      <c r="K2" s="1"/>
      <c r="L2" s="1"/>
      <c r="M2" s="1"/>
      <c r="N2" s="1"/>
      <c r="O2" s="1"/>
      <c r="P2" s="1"/>
      <c r="Q2" s="1"/>
      <c r="R2" s="1"/>
      <c r="S2" s="1"/>
      <c r="T2" s="1"/>
      <c r="U2" s="1"/>
      <c r="V2" s="1"/>
      <c r="W2" s="1"/>
      <c r="X2" s="1"/>
      <c r="Y2" s="1"/>
      <c r="Z2" s="1"/>
    </row>
    <row r="3" spans="1:26" ht="15" customHeight="1" x14ac:dyDescent="0.2">
      <c r="A3" s="2"/>
      <c r="B3" s="2"/>
      <c r="C3" s="2"/>
      <c r="D3" s="2"/>
      <c r="E3" s="2"/>
      <c r="F3" s="2"/>
      <c r="G3" s="2"/>
      <c r="H3" s="2"/>
      <c r="I3" s="2"/>
      <c r="J3" s="2"/>
      <c r="K3" s="1"/>
      <c r="L3" s="1"/>
      <c r="M3" s="1"/>
      <c r="N3" s="1"/>
      <c r="O3" s="1"/>
      <c r="P3" s="1"/>
      <c r="Q3" s="1"/>
      <c r="R3" s="1"/>
      <c r="S3" s="1"/>
      <c r="T3" s="1"/>
      <c r="U3" s="1"/>
      <c r="V3" s="1"/>
      <c r="W3" s="1"/>
      <c r="X3" s="1"/>
      <c r="Y3" s="1"/>
      <c r="Z3" s="1"/>
    </row>
    <row r="4" spans="1:26" ht="18" customHeight="1" x14ac:dyDescent="0.25">
      <c r="A4" s="78" t="s">
        <v>2</v>
      </c>
      <c r="B4" s="76"/>
      <c r="C4" s="76"/>
      <c r="D4" s="76"/>
      <c r="E4" s="76"/>
      <c r="F4" s="76"/>
      <c r="G4" s="76"/>
      <c r="H4" s="76"/>
      <c r="I4" s="76"/>
      <c r="J4" s="76"/>
      <c r="K4" s="1"/>
      <c r="L4" s="1"/>
      <c r="M4" s="1"/>
      <c r="N4" s="1"/>
      <c r="O4" s="1"/>
      <c r="P4" s="1"/>
      <c r="Q4" s="1"/>
      <c r="R4" s="1"/>
      <c r="S4" s="1"/>
      <c r="T4" s="1"/>
      <c r="U4" s="1"/>
      <c r="V4" s="1"/>
      <c r="W4" s="1"/>
      <c r="X4" s="1"/>
      <c r="Y4" s="1"/>
      <c r="Z4" s="1"/>
    </row>
    <row r="5" spans="1:26" ht="15" customHeight="1" x14ac:dyDescent="0.2">
      <c r="A5" s="2"/>
      <c r="B5" s="2"/>
      <c r="C5" s="2"/>
      <c r="D5" s="2"/>
      <c r="E5" s="2"/>
      <c r="F5" s="2"/>
      <c r="G5" s="2"/>
      <c r="H5" s="2"/>
      <c r="I5" s="2"/>
      <c r="J5" s="2"/>
      <c r="K5" s="1"/>
      <c r="L5" s="1"/>
      <c r="M5" s="1"/>
      <c r="N5" s="1"/>
      <c r="O5" s="1"/>
      <c r="P5" s="1"/>
      <c r="Q5" s="1"/>
      <c r="R5" s="1"/>
      <c r="S5" s="1"/>
      <c r="T5" s="1"/>
      <c r="U5" s="1"/>
      <c r="V5" s="1"/>
      <c r="W5" s="1"/>
      <c r="X5" s="1"/>
      <c r="Y5" s="1"/>
      <c r="Z5" s="1"/>
    </row>
    <row r="6" spans="1:26" ht="15" customHeight="1" x14ac:dyDescent="0.2">
      <c r="A6" s="2" t="s">
        <v>3</v>
      </c>
      <c r="B6" s="3"/>
      <c r="C6" s="2"/>
      <c r="D6" s="2"/>
      <c r="E6" s="2"/>
      <c r="F6" s="2"/>
      <c r="G6" s="2"/>
      <c r="H6" s="2"/>
      <c r="I6" s="2"/>
      <c r="J6" s="2"/>
      <c r="K6" s="1"/>
      <c r="L6" s="1"/>
      <c r="M6" s="1"/>
      <c r="N6" s="1"/>
      <c r="O6" s="1"/>
      <c r="P6" s="1"/>
      <c r="Q6" s="1"/>
      <c r="R6" s="1"/>
      <c r="S6" s="1"/>
      <c r="T6" s="1"/>
      <c r="U6" s="1"/>
      <c r="V6" s="1"/>
      <c r="W6" s="1"/>
      <c r="X6" s="1"/>
      <c r="Y6" s="1"/>
      <c r="Z6" s="1"/>
    </row>
    <row r="7" spans="1:26" ht="15" customHeight="1" x14ac:dyDescent="0.2">
      <c r="A7" s="2" t="s">
        <v>4</v>
      </c>
      <c r="B7" s="4"/>
      <c r="C7" s="2"/>
      <c r="D7" s="2"/>
      <c r="E7" s="2"/>
      <c r="F7" s="2"/>
      <c r="G7" s="2"/>
      <c r="H7" s="2"/>
      <c r="I7" s="2"/>
      <c r="J7" s="2"/>
      <c r="K7" s="1"/>
      <c r="L7" s="1"/>
      <c r="M7" s="1"/>
      <c r="N7" s="1"/>
      <c r="O7" s="1"/>
      <c r="P7" s="1"/>
      <c r="Q7" s="1"/>
      <c r="R7" s="1"/>
      <c r="S7" s="1"/>
      <c r="T7" s="1"/>
      <c r="U7" s="1"/>
      <c r="V7" s="1"/>
      <c r="W7" s="1"/>
      <c r="X7" s="1"/>
      <c r="Y7" s="1"/>
      <c r="Z7" s="1"/>
    </row>
    <row r="8" spans="1:26" ht="15" customHeight="1" x14ac:dyDescent="0.2">
      <c r="A8" s="2" t="s">
        <v>5</v>
      </c>
      <c r="B8" s="4"/>
      <c r="C8" s="2"/>
      <c r="D8" s="2"/>
      <c r="E8" s="2"/>
      <c r="F8" s="2"/>
      <c r="G8" s="2"/>
      <c r="H8" s="2"/>
      <c r="I8" s="2"/>
      <c r="J8" s="2"/>
      <c r="K8" s="1"/>
      <c r="L8" s="1"/>
      <c r="M8" s="1"/>
      <c r="N8" s="1"/>
      <c r="O8" s="1"/>
      <c r="P8" s="1"/>
      <c r="Q8" s="1"/>
      <c r="R8" s="1"/>
      <c r="S8" s="1"/>
      <c r="T8" s="1"/>
      <c r="U8" s="1"/>
      <c r="V8" s="1"/>
      <c r="W8" s="1"/>
      <c r="X8" s="1"/>
      <c r="Y8" s="1"/>
      <c r="Z8" s="1"/>
    </row>
    <row r="9" spans="1:26" ht="15" customHeight="1" x14ac:dyDescent="0.2">
      <c r="A9" s="2" t="s">
        <v>6</v>
      </c>
      <c r="B9" s="4"/>
      <c r="C9" s="2"/>
      <c r="D9" s="2"/>
      <c r="E9" s="2"/>
      <c r="F9" s="2"/>
      <c r="G9" s="2"/>
      <c r="H9" s="2"/>
      <c r="I9" s="2"/>
      <c r="J9" s="2"/>
      <c r="K9" s="1"/>
      <c r="L9" s="1"/>
      <c r="M9" s="1"/>
      <c r="N9" s="1"/>
      <c r="O9" s="1"/>
      <c r="P9" s="1"/>
      <c r="Q9" s="1"/>
      <c r="R9" s="1"/>
      <c r="S9" s="1"/>
      <c r="T9" s="1"/>
      <c r="U9" s="1"/>
      <c r="V9" s="1"/>
      <c r="W9" s="1"/>
      <c r="X9" s="1"/>
      <c r="Y9" s="1"/>
      <c r="Z9" s="1"/>
    </row>
    <row r="10" spans="1:26" ht="15" customHeight="1" x14ac:dyDescent="0.2">
      <c r="A10" s="2"/>
      <c r="B10" s="2"/>
      <c r="C10" s="2"/>
      <c r="D10" s="2"/>
      <c r="E10" s="2"/>
      <c r="F10" s="2"/>
      <c r="G10" s="2"/>
      <c r="H10" s="2"/>
      <c r="I10" s="2"/>
      <c r="J10" s="2"/>
      <c r="K10" s="1"/>
      <c r="L10" s="1"/>
      <c r="M10" s="1"/>
      <c r="N10" s="1"/>
      <c r="O10" s="1"/>
      <c r="P10" s="1"/>
      <c r="Q10" s="1"/>
      <c r="R10" s="1"/>
      <c r="S10" s="1"/>
      <c r="T10" s="1"/>
      <c r="U10" s="1"/>
      <c r="V10" s="1"/>
      <c r="W10" s="1"/>
      <c r="X10" s="1"/>
      <c r="Y10" s="1"/>
      <c r="Z10" s="1"/>
    </row>
    <row r="11" spans="1:26" ht="15.75" customHeight="1" x14ac:dyDescent="0.2">
      <c r="A11" s="79" t="s">
        <v>7</v>
      </c>
      <c r="B11" s="76"/>
      <c r="C11" s="76"/>
      <c r="D11" s="76"/>
      <c r="E11" s="76"/>
      <c r="F11" s="76"/>
      <c r="G11" s="76"/>
      <c r="H11" s="76"/>
      <c r="I11" s="76"/>
      <c r="J11" s="76"/>
      <c r="K11" s="1"/>
      <c r="L11" s="1"/>
      <c r="M11" s="1"/>
      <c r="N11" s="1"/>
      <c r="O11" s="1"/>
      <c r="P11" s="1"/>
      <c r="Q11" s="1"/>
      <c r="R11" s="1"/>
      <c r="S11" s="1"/>
      <c r="T11" s="1"/>
      <c r="U11" s="1"/>
      <c r="V11" s="1"/>
      <c r="W11" s="1"/>
      <c r="X11" s="1"/>
      <c r="Y11" s="1"/>
      <c r="Z11" s="1"/>
    </row>
    <row r="12" spans="1:26" ht="24" customHeight="1" x14ac:dyDescent="0.2">
      <c r="A12" s="80" t="s">
        <v>8</v>
      </c>
      <c r="B12" s="76"/>
      <c r="C12" s="76"/>
      <c r="D12" s="76"/>
      <c r="E12" s="76"/>
      <c r="F12" s="76"/>
      <c r="G12" s="76"/>
      <c r="H12" s="76"/>
      <c r="I12" s="76"/>
      <c r="J12" s="76"/>
      <c r="K12" s="1"/>
      <c r="L12" s="1"/>
      <c r="M12" s="1"/>
      <c r="N12" s="1"/>
      <c r="O12" s="1"/>
      <c r="P12" s="1"/>
      <c r="Q12" s="1"/>
      <c r="R12" s="1"/>
      <c r="S12" s="1"/>
      <c r="T12" s="1"/>
      <c r="U12" s="1"/>
      <c r="V12" s="1"/>
      <c r="W12" s="1"/>
      <c r="X12" s="1"/>
      <c r="Y12" s="1"/>
      <c r="Z12" s="1"/>
    </row>
    <row r="13" spans="1:26" ht="24" customHeight="1" x14ac:dyDescent="0.2">
      <c r="A13" s="76"/>
      <c r="B13" s="76"/>
      <c r="C13" s="76"/>
      <c r="D13" s="76"/>
      <c r="E13" s="76"/>
      <c r="F13" s="76"/>
      <c r="G13" s="76"/>
      <c r="H13" s="76"/>
      <c r="I13" s="76"/>
      <c r="J13" s="76"/>
      <c r="K13" s="1"/>
      <c r="L13" s="1"/>
      <c r="M13" s="1"/>
      <c r="N13" s="1"/>
      <c r="O13" s="1"/>
      <c r="P13" s="1"/>
      <c r="Q13" s="1"/>
      <c r="R13" s="1"/>
      <c r="S13" s="1"/>
      <c r="T13" s="1"/>
      <c r="U13" s="1"/>
      <c r="V13" s="1"/>
      <c r="W13" s="1"/>
      <c r="X13" s="1"/>
      <c r="Y13" s="1"/>
      <c r="Z13" s="1"/>
    </row>
    <row r="14" spans="1:26" ht="24" customHeight="1" x14ac:dyDescent="0.2">
      <c r="A14" s="76"/>
      <c r="B14" s="76"/>
      <c r="C14" s="76"/>
      <c r="D14" s="76"/>
      <c r="E14" s="76"/>
      <c r="F14" s="76"/>
      <c r="G14" s="76"/>
      <c r="H14" s="76"/>
      <c r="I14" s="76"/>
      <c r="J14" s="76"/>
      <c r="K14" s="1"/>
      <c r="L14" s="1"/>
      <c r="M14" s="1"/>
      <c r="N14" s="1"/>
      <c r="O14" s="1"/>
      <c r="P14" s="1"/>
      <c r="Q14" s="1"/>
      <c r="R14" s="1"/>
      <c r="S14" s="1"/>
      <c r="T14" s="1"/>
      <c r="U14" s="1"/>
      <c r="V14" s="1"/>
      <c r="W14" s="1"/>
      <c r="X14" s="1"/>
      <c r="Y14" s="1"/>
      <c r="Z14" s="1"/>
    </row>
    <row r="15" spans="1:26" ht="24" customHeight="1" x14ac:dyDescent="0.2">
      <c r="A15" s="76"/>
      <c r="B15" s="76"/>
      <c r="C15" s="76"/>
      <c r="D15" s="76"/>
      <c r="E15" s="76"/>
      <c r="F15" s="76"/>
      <c r="G15" s="76"/>
      <c r="H15" s="76"/>
      <c r="I15" s="76"/>
      <c r="J15" s="76"/>
      <c r="K15" s="1"/>
      <c r="L15" s="1"/>
      <c r="M15" s="1"/>
      <c r="N15" s="1"/>
      <c r="O15" s="1"/>
      <c r="P15" s="1"/>
      <c r="Q15" s="1"/>
      <c r="R15" s="1"/>
      <c r="S15" s="1"/>
      <c r="T15" s="1"/>
      <c r="U15" s="1"/>
      <c r="V15" s="1"/>
      <c r="W15" s="1"/>
      <c r="X15" s="1"/>
      <c r="Y15" s="1"/>
      <c r="Z15" s="1"/>
    </row>
    <row r="16" spans="1:26" ht="15" customHeight="1" x14ac:dyDescent="0.2">
      <c r="A16" s="2"/>
      <c r="B16" s="2"/>
      <c r="C16" s="2"/>
      <c r="D16" s="2"/>
      <c r="E16" s="2"/>
      <c r="F16" s="2"/>
      <c r="G16" s="2"/>
      <c r="H16" s="2"/>
      <c r="I16" s="2"/>
      <c r="J16" s="2"/>
      <c r="K16" s="1"/>
      <c r="L16" s="1"/>
      <c r="M16" s="1"/>
      <c r="N16" s="1"/>
      <c r="O16" s="1"/>
      <c r="P16" s="1"/>
      <c r="Q16" s="1"/>
      <c r="R16" s="1"/>
      <c r="S16" s="1"/>
      <c r="T16" s="1"/>
      <c r="U16" s="1"/>
      <c r="V16" s="1"/>
      <c r="W16" s="1"/>
      <c r="X16" s="1"/>
      <c r="Y16" s="1"/>
      <c r="Z16" s="1"/>
    </row>
    <row r="17" spans="1:26" ht="15.75" customHeight="1" x14ac:dyDescent="0.2">
      <c r="A17" s="79" t="s">
        <v>9</v>
      </c>
      <c r="B17" s="76"/>
      <c r="C17" s="76"/>
      <c r="D17" s="76"/>
      <c r="E17" s="76"/>
      <c r="F17" s="76"/>
      <c r="G17" s="2"/>
      <c r="H17" s="2"/>
      <c r="I17" s="2"/>
      <c r="J17" s="2"/>
      <c r="K17" s="1"/>
      <c r="L17" s="1"/>
      <c r="M17" s="1"/>
      <c r="N17" s="1"/>
      <c r="O17" s="1"/>
      <c r="P17" s="1"/>
      <c r="Q17" s="1"/>
      <c r="R17" s="1"/>
      <c r="S17" s="1"/>
      <c r="T17" s="1"/>
      <c r="U17" s="1"/>
      <c r="V17" s="1"/>
      <c r="W17" s="1"/>
      <c r="X17" s="1"/>
      <c r="Y17" s="1"/>
      <c r="Z17" s="1"/>
    </row>
    <row r="18" spans="1:26" ht="15.75" customHeight="1" x14ac:dyDescent="0.2">
      <c r="A18" s="6" t="s">
        <v>10</v>
      </c>
      <c r="B18" s="6" t="s">
        <v>11</v>
      </c>
      <c r="C18" s="2"/>
      <c r="D18" s="2"/>
      <c r="E18" s="2"/>
      <c r="F18" s="2"/>
      <c r="G18" s="2"/>
      <c r="H18" s="2"/>
      <c r="I18" s="2"/>
      <c r="J18" s="2"/>
      <c r="K18" s="1"/>
      <c r="L18" s="1"/>
      <c r="M18" s="1"/>
      <c r="N18" s="1"/>
      <c r="O18" s="1"/>
      <c r="P18" s="1"/>
      <c r="Q18" s="1"/>
      <c r="R18" s="1"/>
      <c r="S18" s="1"/>
      <c r="T18" s="1"/>
      <c r="U18" s="1"/>
      <c r="V18" s="1"/>
      <c r="W18" s="1"/>
      <c r="X18" s="1"/>
      <c r="Y18" s="1"/>
      <c r="Z18" s="1"/>
    </row>
    <row r="19" spans="1:26" ht="15.75" customHeight="1" x14ac:dyDescent="0.2">
      <c r="A19" s="7" t="s">
        <v>12</v>
      </c>
      <c r="B19" s="7" t="s">
        <v>13</v>
      </c>
      <c r="C19" s="2"/>
      <c r="D19" s="2"/>
      <c r="E19" s="2"/>
      <c r="F19" s="2"/>
      <c r="G19" s="2"/>
      <c r="H19" s="2"/>
      <c r="I19" s="2"/>
      <c r="J19" s="2"/>
      <c r="K19" s="1"/>
      <c r="L19" s="1"/>
      <c r="M19" s="1"/>
      <c r="N19" s="1"/>
      <c r="O19" s="1"/>
      <c r="P19" s="1"/>
      <c r="Q19" s="1"/>
      <c r="R19" s="1"/>
      <c r="S19" s="1"/>
      <c r="T19" s="1"/>
      <c r="U19" s="1"/>
      <c r="V19" s="1"/>
      <c r="W19" s="1"/>
      <c r="X19" s="1"/>
      <c r="Y19" s="1"/>
      <c r="Z19" s="1"/>
    </row>
    <row r="20" spans="1:26" ht="15.75" customHeight="1" x14ac:dyDescent="0.2">
      <c r="A20" s="7" t="s">
        <v>14</v>
      </c>
      <c r="B20" s="7" t="s">
        <v>15</v>
      </c>
      <c r="C20" s="2"/>
      <c r="D20" s="2"/>
      <c r="E20" s="2"/>
      <c r="F20" s="2"/>
      <c r="G20" s="2"/>
      <c r="H20" s="2"/>
      <c r="I20" s="2"/>
      <c r="J20" s="2"/>
      <c r="K20" s="1"/>
      <c r="L20" s="1"/>
      <c r="M20" s="1"/>
      <c r="N20" s="1"/>
      <c r="O20" s="1"/>
      <c r="P20" s="1"/>
      <c r="Q20" s="1"/>
      <c r="R20" s="1"/>
      <c r="S20" s="1"/>
      <c r="T20" s="1"/>
      <c r="U20" s="1"/>
      <c r="V20" s="1"/>
      <c r="W20" s="1"/>
      <c r="X20" s="1"/>
      <c r="Y20" s="1"/>
      <c r="Z20" s="1"/>
    </row>
    <row r="21" spans="1:26" ht="15.75" customHeight="1" x14ac:dyDescent="0.2">
      <c r="A21" s="7" t="s">
        <v>16</v>
      </c>
      <c r="B21" s="7" t="s">
        <v>17</v>
      </c>
      <c r="C21" s="2"/>
      <c r="D21" s="2"/>
      <c r="E21" s="2"/>
      <c r="F21" s="2"/>
      <c r="G21" s="2"/>
      <c r="H21" s="2"/>
      <c r="I21" s="2"/>
      <c r="J21" s="2"/>
      <c r="K21" s="1"/>
      <c r="L21" s="1"/>
      <c r="M21" s="1"/>
      <c r="N21" s="1"/>
      <c r="O21" s="1"/>
      <c r="P21" s="1"/>
      <c r="Q21" s="1"/>
      <c r="R21" s="1"/>
      <c r="S21" s="1"/>
      <c r="T21" s="1"/>
      <c r="U21" s="1"/>
      <c r="V21" s="1"/>
      <c r="W21" s="1"/>
      <c r="X21" s="1"/>
      <c r="Y21" s="1"/>
      <c r="Z21" s="1"/>
    </row>
    <row r="22" spans="1:26" ht="15.75" customHeight="1" x14ac:dyDescent="0.2">
      <c r="A22" s="7" t="s">
        <v>18</v>
      </c>
      <c r="B22" s="7" t="s">
        <v>19</v>
      </c>
      <c r="C22" s="2"/>
      <c r="D22" s="2"/>
      <c r="E22" s="2"/>
      <c r="F22" s="2"/>
      <c r="G22" s="2"/>
      <c r="H22" s="2"/>
      <c r="I22" s="2"/>
      <c r="J22" s="2"/>
      <c r="K22" s="1"/>
      <c r="L22" s="1"/>
      <c r="M22" s="1"/>
      <c r="N22" s="1"/>
      <c r="O22" s="1"/>
      <c r="P22" s="1"/>
      <c r="Q22" s="1"/>
      <c r="R22" s="1"/>
      <c r="S22" s="1"/>
      <c r="T22" s="1"/>
      <c r="U22" s="1"/>
      <c r="V22" s="1"/>
      <c r="W22" s="1"/>
      <c r="X22" s="1"/>
      <c r="Y22" s="1"/>
      <c r="Z22" s="1"/>
    </row>
    <row r="23" spans="1:26" ht="15.75" customHeight="1" x14ac:dyDescent="0.2">
      <c r="A23" s="2"/>
      <c r="B23" s="2"/>
      <c r="C23" s="2"/>
      <c r="D23" s="2"/>
      <c r="E23" s="2"/>
      <c r="F23" s="2"/>
      <c r="G23" s="2"/>
      <c r="H23" s="2"/>
      <c r="I23" s="2"/>
      <c r="J23" s="2"/>
      <c r="K23" s="1"/>
      <c r="L23" s="1"/>
      <c r="M23" s="1"/>
      <c r="N23" s="1"/>
      <c r="O23" s="1"/>
      <c r="P23" s="1"/>
      <c r="Q23" s="1"/>
      <c r="R23" s="1"/>
      <c r="S23" s="1"/>
      <c r="T23" s="1"/>
      <c r="U23" s="1"/>
      <c r="V23" s="1"/>
      <c r="W23" s="1"/>
      <c r="X23" s="1"/>
      <c r="Y23" s="1"/>
      <c r="Z23" s="1"/>
    </row>
    <row r="24" spans="1:26" ht="15.75" customHeight="1" x14ac:dyDescent="0.2">
      <c r="A24" s="79" t="s">
        <v>20</v>
      </c>
      <c r="B24" s="76"/>
      <c r="C24" s="76"/>
      <c r="D24" s="76"/>
      <c r="E24" s="76"/>
      <c r="F24" s="76"/>
      <c r="G24" s="76"/>
      <c r="H24" s="76"/>
      <c r="I24" s="76"/>
      <c r="J24" s="76"/>
      <c r="K24" s="1"/>
      <c r="L24" s="1"/>
      <c r="M24" s="1"/>
      <c r="N24" s="1"/>
      <c r="O24" s="1"/>
      <c r="P24" s="1"/>
      <c r="Q24" s="1"/>
      <c r="R24" s="1"/>
      <c r="S24" s="1"/>
      <c r="T24" s="1"/>
      <c r="U24" s="1"/>
      <c r="V24" s="1"/>
      <c r="W24" s="1"/>
      <c r="X24" s="1"/>
      <c r="Y24" s="1"/>
      <c r="Z24" s="1"/>
    </row>
    <row r="25" spans="1:26" ht="15.75" customHeight="1" x14ac:dyDescent="0.2">
      <c r="A25" s="6" t="s">
        <v>21</v>
      </c>
      <c r="B25" s="6" t="s">
        <v>22</v>
      </c>
      <c r="C25" s="6" t="s">
        <v>23</v>
      </c>
      <c r="D25" s="2"/>
      <c r="E25" s="2"/>
      <c r="F25" s="2"/>
      <c r="G25" s="2"/>
      <c r="H25" s="2"/>
      <c r="I25" s="2"/>
      <c r="J25" s="2"/>
      <c r="K25" s="1"/>
      <c r="L25" s="1"/>
      <c r="M25" s="1"/>
      <c r="N25" s="1"/>
      <c r="O25" s="1"/>
      <c r="P25" s="1"/>
      <c r="Q25" s="1"/>
      <c r="R25" s="1"/>
      <c r="S25" s="1"/>
      <c r="T25" s="1"/>
      <c r="U25" s="1"/>
      <c r="V25" s="1"/>
      <c r="W25" s="1"/>
      <c r="X25" s="1"/>
      <c r="Y25" s="1"/>
      <c r="Z25" s="1"/>
    </row>
    <row r="26" spans="1:26" ht="33.75" customHeight="1" x14ac:dyDescent="0.2">
      <c r="A26" s="7" t="s">
        <v>4</v>
      </c>
      <c r="B26" s="7" t="s">
        <v>24</v>
      </c>
      <c r="C26" s="7" t="s">
        <v>25</v>
      </c>
      <c r="D26" s="2"/>
      <c r="E26" s="2"/>
      <c r="F26" s="2"/>
      <c r="G26" s="2"/>
      <c r="H26" s="2"/>
      <c r="I26" s="2"/>
      <c r="J26" s="2"/>
      <c r="K26" s="1"/>
      <c r="L26" s="1"/>
      <c r="M26" s="1"/>
      <c r="N26" s="1"/>
      <c r="O26" s="1"/>
      <c r="P26" s="1"/>
      <c r="Q26" s="1"/>
      <c r="R26" s="1"/>
      <c r="S26" s="1"/>
      <c r="T26" s="1"/>
      <c r="U26" s="1"/>
      <c r="V26" s="1"/>
      <c r="W26" s="1"/>
      <c r="X26" s="1"/>
      <c r="Y26" s="1"/>
      <c r="Z26" s="1"/>
    </row>
    <row r="27" spans="1:26" ht="33.75" customHeight="1" x14ac:dyDescent="0.2">
      <c r="A27" s="7" t="s">
        <v>5</v>
      </c>
      <c r="B27" s="7" t="s">
        <v>26</v>
      </c>
      <c r="C27" s="7" t="s">
        <v>27</v>
      </c>
      <c r="D27" s="2"/>
      <c r="E27" s="2"/>
      <c r="F27" s="2"/>
      <c r="G27" s="2"/>
      <c r="H27" s="2"/>
      <c r="I27" s="2"/>
      <c r="J27" s="2"/>
      <c r="K27" s="1"/>
      <c r="L27" s="1"/>
      <c r="M27" s="1"/>
      <c r="N27" s="1"/>
      <c r="O27" s="1"/>
      <c r="P27" s="1"/>
      <c r="Q27" s="1"/>
      <c r="R27" s="1"/>
      <c r="S27" s="1"/>
      <c r="T27" s="1"/>
      <c r="U27" s="1"/>
      <c r="V27" s="1"/>
      <c r="W27" s="1"/>
      <c r="X27" s="1"/>
      <c r="Y27" s="1"/>
      <c r="Z27" s="1"/>
    </row>
    <row r="28" spans="1:26" ht="33.75" customHeight="1" x14ac:dyDescent="0.2">
      <c r="A28" s="7" t="s">
        <v>6</v>
      </c>
      <c r="B28" s="7" t="s">
        <v>28</v>
      </c>
      <c r="C28" s="7" t="s">
        <v>29</v>
      </c>
      <c r="D28" s="2"/>
      <c r="E28" s="2"/>
      <c r="F28" s="2"/>
      <c r="G28" s="2"/>
      <c r="H28" s="2"/>
      <c r="I28" s="2"/>
      <c r="J28" s="2"/>
      <c r="K28" s="1"/>
      <c r="L28" s="1"/>
      <c r="M28" s="1"/>
      <c r="N28" s="1"/>
      <c r="O28" s="1"/>
      <c r="P28" s="1"/>
      <c r="Q28" s="1"/>
      <c r="R28" s="1"/>
      <c r="S28" s="1"/>
      <c r="T28" s="1"/>
      <c r="U28" s="1"/>
      <c r="V28" s="1"/>
      <c r="W28" s="1"/>
      <c r="X28" s="1"/>
      <c r="Y28" s="1"/>
      <c r="Z28" s="1"/>
    </row>
    <row r="29" spans="1:26" ht="15.75" customHeight="1" x14ac:dyDescent="0.2">
      <c r="A29" s="2"/>
      <c r="B29" s="2"/>
      <c r="C29" s="2"/>
      <c r="D29" s="2"/>
      <c r="E29" s="2"/>
      <c r="F29" s="2"/>
      <c r="G29" s="2"/>
      <c r="H29" s="2"/>
      <c r="I29" s="2"/>
      <c r="J29" s="2"/>
      <c r="K29" s="1"/>
      <c r="L29" s="1"/>
      <c r="M29" s="1"/>
      <c r="N29" s="1"/>
      <c r="O29" s="1"/>
      <c r="P29" s="1"/>
      <c r="Q29" s="1"/>
      <c r="R29" s="1"/>
      <c r="S29" s="1"/>
      <c r="T29" s="1"/>
      <c r="U29" s="1"/>
      <c r="V29" s="1"/>
      <c r="W29" s="1"/>
      <c r="X29" s="1"/>
      <c r="Y29" s="1"/>
      <c r="Z29" s="1"/>
    </row>
    <row r="30" spans="1:26" ht="15.75" customHeight="1" x14ac:dyDescent="0.2">
      <c r="A30" s="79" t="s">
        <v>30</v>
      </c>
      <c r="B30" s="76"/>
      <c r="C30" s="76"/>
      <c r="D30" s="76"/>
      <c r="E30" s="76"/>
      <c r="F30" s="76"/>
      <c r="G30" s="76"/>
      <c r="H30" s="76"/>
      <c r="I30" s="76"/>
      <c r="J30" s="76"/>
      <c r="K30" s="1"/>
      <c r="L30" s="1"/>
      <c r="M30" s="1"/>
      <c r="N30" s="1"/>
      <c r="O30" s="1"/>
      <c r="P30" s="1"/>
      <c r="Q30" s="1"/>
      <c r="R30" s="1"/>
      <c r="S30" s="1"/>
      <c r="T30" s="1"/>
      <c r="U30" s="1"/>
      <c r="V30" s="1"/>
      <c r="W30" s="1"/>
      <c r="X30" s="1"/>
      <c r="Y30" s="1"/>
      <c r="Z30" s="1"/>
    </row>
    <row r="31" spans="1:26" ht="15.75" customHeight="1" x14ac:dyDescent="0.2">
      <c r="A31" s="8" t="s">
        <v>31</v>
      </c>
      <c r="B31" s="8" t="s">
        <v>32</v>
      </c>
      <c r="C31" s="8" t="s">
        <v>33</v>
      </c>
      <c r="D31" s="8" t="s">
        <v>34</v>
      </c>
      <c r="E31" s="2"/>
      <c r="F31" s="2"/>
      <c r="G31" s="2"/>
      <c r="H31" s="2"/>
      <c r="I31" s="2"/>
      <c r="J31" s="2"/>
      <c r="K31" s="1"/>
      <c r="L31" s="1"/>
      <c r="M31" s="1"/>
      <c r="N31" s="1"/>
      <c r="O31" s="1"/>
      <c r="P31" s="1"/>
      <c r="Q31" s="1"/>
      <c r="R31" s="1"/>
      <c r="S31" s="1"/>
      <c r="T31" s="1"/>
      <c r="U31" s="1"/>
      <c r="V31" s="1"/>
      <c r="W31" s="1"/>
      <c r="X31" s="1"/>
      <c r="Y31" s="1"/>
      <c r="Z31" s="1"/>
    </row>
    <row r="32" spans="1:26" ht="48" customHeight="1" x14ac:dyDescent="0.2">
      <c r="A32" s="7" t="s">
        <v>35</v>
      </c>
      <c r="B32" s="7">
        <f>'Scoring Backend'!$B$4</f>
        <v>10</v>
      </c>
      <c r="C32" s="7" t="str">
        <f>'Scoring Backend'!$C$4&amp;" Load / Day"</f>
        <v>1 Load / Day</v>
      </c>
      <c r="D32" s="7" t="s">
        <v>36</v>
      </c>
      <c r="E32" s="9"/>
      <c r="F32" s="9"/>
      <c r="G32" s="2"/>
      <c r="H32" s="2"/>
      <c r="I32" s="2"/>
      <c r="J32" s="2"/>
      <c r="K32" s="1"/>
      <c r="L32" s="1"/>
      <c r="M32" s="1"/>
      <c r="N32" s="1"/>
      <c r="O32" s="1"/>
      <c r="P32" s="1"/>
      <c r="Q32" s="1"/>
      <c r="R32" s="1"/>
      <c r="S32" s="1"/>
      <c r="T32" s="1"/>
      <c r="U32" s="1"/>
      <c r="V32" s="1"/>
      <c r="W32" s="1"/>
      <c r="X32" s="1"/>
      <c r="Y32" s="1"/>
      <c r="Z32" s="1"/>
    </row>
    <row r="33" spans="1:26" ht="15.75" customHeight="1" x14ac:dyDescent="0.2">
      <c r="A33" s="7" t="s">
        <v>37</v>
      </c>
      <c r="B33" s="7">
        <f>'Scoring Backend'!$B$5</f>
        <v>10</v>
      </c>
      <c r="C33" s="7" t="s">
        <v>38</v>
      </c>
      <c r="D33" s="7" t="s">
        <v>39</v>
      </c>
      <c r="E33" s="2"/>
      <c r="F33" s="2"/>
      <c r="G33" s="2"/>
      <c r="H33" s="2"/>
      <c r="I33" s="2"/>
      <c r="J33" s="2"/>
      <c r="K33" s="1"/>
      <c r="L33" s="1"/>
      <c r="M33" s="1"/>
      <c r="N33" s="1"/>
      <c r="O33" s="1"/>
      <c r="P33" s="1"/>
      <c r="Q33" s="1"/>
      <c r="R33" s="1"/>
      <c r="S33" s="1"/>
      <c r="T33" s="1"/>
      <c r="U33" s="1"/>
      <c r="V33" s="1"/>
      <c r="W33" s="1"/>
      <c r="X33" s="1"/>
      <c r="Y33" s="1"/>
      <c r="Z33" s="1"/>
    </row>
    <row r="34" spans="1:26" ht="15.75" customHeight="1" x14ac:dyDescent="0.2">
      <c r="A34" s="7"/>
      <c r="B34" s="7"/>
      <c r="C34" s="7"/>
      <c r="D34" s="7"/>
      <c r="E34" s="9"/>
      <c r="F34" s="2"/>
      <c r="G34" s="2"/>
      <c r="H34" s="2"/>
      <c r="I34" s="2"/>
      <c r="J34" s="2"/>
      <c r="K34" s="1"/>
      <c r="L34" s="1"/>
      <c r="M34" s="1"/>
      <c r="N34" s="1"/>
      <c r="O34" s="1"/>
      <c r="P34" s="1"/>
      <c r="Q34" s="1"/>
      <c r="R34" s="1"/>
      <c r="S34" s="1"/>
      <c r="T34" s="1"/>
      <c r="U34" s="1"/>
      <c r="V34" s="1"/>
      <c r="W34" s="1"/>
      <c r="X34" s="1"/>
      <c r="Y34" s="1"/>
      <c r="Z34" s="1"/>
    </row>
    <row r="35" spans="1:26" ht="31.5" customHeight="1" x14ac:dyDescent="0.2">
      <c r="A35" s="8" t="s">
        <v>40</v>
      </c>
      <c r="B35" s="8" t="s">
        <v>32</v>
      </c>
      <c r="C35" s="8" t="s">
        <v>33</v>
      </c>
      <c r="D35" s="8" t="s">
        <v>196</v>
      </c>
      <c r="E35" s="2"/>
      <c r="F35" s="2"/>
      <c r="G35" s="2"/>
      <c r="H35" s="2"/>
      <c r="I35" s="2"/>
      <c r="J35" s="2"/>
      <c r="K35" s="1"/>
      <c r="L35" s="1"/>
      <c r="M35" s="1"/>
      <c r="N35" s="1"/>
      <c r="O35" s="1"/>
      <c r="P35" s="1"/>
      <c r="Q35" s="1"/>
      <c r="R35" s="1"/>
      <c r="S35" s="1"/>
      <c r="T35" s="1"/>
      <c r="U35" s="1"/>
      <c r="V35" s="1"/>
      <c r="W35" s="1"/>
      <c r="X35" s="1"/>
      <c r="Y35" s="1"/>
      <c r="Z35" s="1"/>
    </row>
    <row r="36" spans="1:26" ht="31.5" customHeight="1" x14ac:dyDescent="0.2">
      <c r="A36" s="7" t="s">
        <v>41</v>
      </c>
      <c r="B36" s="7">
        <f>'Scoring Backend'!$B$6</f>
        <v>20</v>
      </c>
      <c r="C36" s="7" t="str">
        <f>'Scoring Backend'!$C$6&amp;" Loads / Day"</f>
        <v>3 Loads / Day</v>
      </c>
      <c r="D36" s="7" t="s">
        <v>197</v>
      </c>
      <c r="E36" s="9"/>
      <c r="F36" s="9"/>
      <c r="G36" s="2"/>
      <c r="H36" s="2"/>
      <c r="I36" s="2"/>
      <c r="J36" s="2"/>
      <c r="K36" s="1"/>
      <c r="L36" s="1"/>
      <c r="M36" s="1"/>
      <c r="N36" s="1"/>
      <c r="O36" s="1"/>
      <c r="P36" s="1"/>
      <c r="Q36" s="1"/>
      <c r="R36" s="1"/>
      <c r="S36" s="1"/>
      <c r="T36" s="1"/>
      <c r="U36" s="1"/>
      <c r="V36" s="1"/>
      <c r="W36" s="1"/>
      <c r="X36" s="1"/>
      <c r="Y36" s="1"/>
      <c r="Z36" s="1"/>
    </row>
    <row r="37" spans="1:26" ht="31.5" customHeight="1" x14ac:dyDescent="0.2">
      <c r="A37" s="7" t="s">
        <v>42</v>
      </c>
      <c r="B37" s="7">
        <f>'Scoring Backend'!$B$7</f>
        <v>35</v>
      </c>
      <c r="C37" s="7" t="str">
        <f>'Scoring Backend'!$C$7&amp;" Loads / Day"</f>
        <v>5 Loads / Day</v>
      </c>
      <c r="D37" s="7" t="s">
        <v>198</v>
      </c>
      <c r="E37" s="9"/>
      <c r="F37" s="2"/>
      <c r="G37" s="2"/>
      <c r="H37" s="2"/>
      <c r="I37" s="2"/>
      <c r="J37" s="2"/>
      <c r="K37" s="1"/>
      <c r="L37" s="1"/>
      <c r="M37" s="1"/>
      <c r="N37" s="1"/>
      <c r="O37" s="1"/>
      <c r="P37" s="1"/>
      <c r="Q37" s="1"/>
      <c r="R37" s="1"/>
      <c r="S37" s="1"/>
      <c r="T37" s="1"/>
      <c r="U37" s="1"/>
      <c r="V37" s="1"/>
      <c r="W37" s="1"/>
      <c r="X37" s="1"/>
      <c r="Y37" s="1"/>
      <c r="Z37" s="1"/>
    </row>
    <row r="38" spans="1:26" ht="31.5" customHeight="1" x14ac:dyDescent="0.2">
      <c r="A38" s="7" t="s">
        <v>43</v>
      </c>
      <c r="B38" s="7">
        <f>'Scoring Backend'!$B$8</f>
        <v>60</v>
      </c>
      <c r="C38" s="7" t="str">
        <f>'Scoring Backend'!$C$8&amp;" Loads / Day"</f>
        <v>8 Loads / Day</v>
      </c>
      <c r="D38" s="7" t="s">
        <v>199</v>
      </c>
      <c r="E38" s="9"/>
      <c r="F38" s="2"/>
      <c r="G38" s="2"/>
      <c r="H38" s="2"/>
      <c r="I38" s="2"/>
      <c r="J38" s="2"/>
      <c r="K38" s="1"/>
      <c r="L38" s="1"/>
      <c r="M38" s="1"/>
      <c r="N38" s="1"/>
      <c r="O38" s="1"/>
      <c r="P38" s="1"/>
      <c r="Q38" s="1"/>
      <c r="R38" s="1"/>
      <c r="S38" s="1"/>
      <c r="T38" s="1"/>
      <c r="U38" s="1"/>
      <c r="V38" s="1"/>
      <c r="W38" s="1"/>
      <c r="X38" s="1"/>
      <c r="Y38" s="1"/>
      <c r="Z38" s="1"/>
    </row>
    <row r="39" spans="1:26" ht="15.75" customHeight="1" x14ac:dyDescent="0.2">
      <c r="A39" s="2"/>
      <c r="B39" s="2"/>
      <c r="C39" s="2"/>
      <c r="D39" s="2"/>
      <c r="E39" s="2"/>
      <c r="F39" s="2"/>
      <c r="G39" s="2"/>
      <c r="H39" s="2"/>
      <c r="I39" s="2"/>
      <c r="J39" s="2"/>
      <c r="K39" s="1"/>
      <c r="L39" s="1"/>
      <c r="M39" s="1"/>
      <c r="N39" s="1"/>
      <c r="O39" s="1"/>
      <c r="P39" s="1"/>
      <c r="Q39" s="1"/>
      <c r="R39" s="1"/>
      <c r="S39" s="1"/>
      <c r="T39" s="1"/>
      <c r="U39" s="1"/>
      <c r="V39" s="1"/>
      <c r="W39" s="1"/>
      <c r="X39" s="1"/>
      <c r="Y39" s="1"/>
      <c r="Z39" s="1"/>
    </row>
    <row r="40" spans="1:26" ht="15.75" customHeight="1" x14ac:dyDescent="0.2">
      <c r="A40" s="79" t="s">
        <v>44</v>
      </c>
      <c r="B40" s="76"/>
      <c r="C40" s="76"/>
      <c r="D40" s="76"/>
      <c r="E40" s="76"/>
      <c r="F40" s="76"/>
      <c r="G40" s="76"/>
      <c r="H40" s="76"/>
      <c r="I40" s="76"/>
      <c r="J40" s="76"/>
      <c r="K40" s="1"/>
      <c r="L40" s="1"/>
      <c r="M40" s="1"/>
      <c r="N40" s="1"/>
      <c r="O40" s="1"/>
      <c r="P40" s="1"/>
      <c r="Q40" s="1"/>
      <c r="R40" s="1"/>
      <c r="S40" s="1"/>
      <c r="T40" s="1"/>
      <c r="U40" s="1"/>
      <c r="V40" s="1"/>
      <c r="W40" s="1"/>
      <c r="X40" s="1"/>
      <c r="Y40" s="1"/>
      <c r="Z40" s="1"/>
    </row>
    <row r="41" spans="1:26" ht="15.75" customHeight="1" x14ac:dyDescent="0.2">
      <c r="A41" s="90" t="s">
        <v>45</v>
      </c>
      <c r="B41" s="76"/>
      <c r="C41" s="76"/>
      <c r="D41" s="76"/>
      <c r="E41" s="76"/>
      <c r="F41" s="76"/>
      <c r="G41" s="76"/>
      <c r="H41" s="76"/>
      <c r="I41" s="76"/>
      <c r="J41" s="76"/>
      <c r="K41" s="1"/>
      <c r="L41" s="1"/>
      <c r="M41" s="1"/>
      <c r="N41" s="1"/>
      <c r="O41" s="1"/>
      <c r="P41" s="1"/>
      <c r="Q41" s="1"/>
      <c r="R41" s="1"/>
      <c r="S41" s="1"/>
      <c r="T41" s="1"/>
      <c r="U41" s="1"/>
      <c r="V41" s="1"/>
      <c r="W41" s="1"/>
      <c r="X41" s="1"/>
      <c r="Y41" s="1"/>
      <c r="Z41" s="1"/>
    </row>
    <row r="42" spans="1:26" ht="15.75" customHeight="1" x14ac:dyDescent="0.2">
      <c r="A42" s="76"/>
      <c r="B42" s="76"/>
      <c r="C42" s="76"/>
      <c r="D42" s="76"/>
      <c r="E42" s="76"/>
      <c r="F42" s="76"/>
      <c r="G42" s="76"/>
      <c r="H42" s="76"/>
      <c r="I42" s="76"/>
      <c r="J42" s="76"/>
      <c r="K42" s="1"/>
      <c r="L42" s="1"/>
      <c r="M42" s="1"/>
      <c r="N42" s="1"/>
      <c r="O42" s="1"/>
      <c r="P42" s="1"/>
      <c r="Q42" s="1"/>
      <c r="R42" s="1"/>
      <c r="S42" s="1"/>
      <c r="T42" s="1"/>
      <c r="U42" s="1"/>
      <c r="V42" s="1"/>
      <c r="W42" s="1"/>
      <c r="X42" s="1"/>
      <c r="Y42" s="1"/>
      <c r="Z42" s="1"/>
    </row>
    <row r="43" spans="1:26" ht="15.75" customHeight="1" x14ac:dyDescent="0.2">
      <c r="A43" s="2"/>
      <c r="B43" s="2"/>
      <c r="C43" s="2"/>
      <c r="D43" s="2"/>
      <c r="E43" s="2"/>
      <c r="F43" s="2"/>
      <c r="G43" s="2"/>
      <c r="H43" s="2"/>
      <c r="I43" s="2"/>
      <c r="J43" s="2"/>
      <c r="K43" s="1"/>
      <c r="L43" s="1"/>
      <c r="M43" s="1"/>
      <c r="N43" s="1"/>
      <c r="O43" s="1"/>
      <c r="P43" s="1"/>
      <c r="Q43" s="1"/>
      <c r="R43" s="1"/>
      <c r="S43" s="1"/>
      <c r="T43" s="1"/>
      <c r="U43" s="1"/>
      <c r="V43" s="1"/>
      <c r="W43" s="1"/>
      <c r="X43" s="1"/>
      <c r="Y43" s="1"/>
      <c r="Z43" s="1"/>
    </row>
    <row r="44" spans="1:26" ht="15.75" customHeight="1" x14ac:dyDescent="0.2">
      <c r="A44" s="8" t="s">
        <v>46</v>
      </c>
      <c r="B44" s="8" t="s">
        <v>47</v>
      </c>
      <c r="C44" s="8" t="s">
        <v>48</v>
      </c>
      <c r="D44" s="7"/>
      <c r="E44" s="7"/>
      <c r="F44" s="8" t="s">
        <v>49</v>
      </c>
      <c r="G44" s="8" t="s">
        <v>50</v>
      </c>
      <c r="H44" s="2"/>
      <c r="I44" s="2"/>
      <c r="J44" s="2"/>
      <c r="K44" s="1"/>
      <c r="L44" s="1"/>
      <c r="M44" s="1"/>
      <c r="N44" s="1"/>
      <c r="O44" s="1"/>
      <c r="P44" s="1"/>
      <c r="Q44" s="1"/>
      <c r="R44" s="1"/>
      <c r="S44" s="1"/>
      <c r="T44" s="1"/>
      <c r="U44" s="1"/>
      <c r="V44" s="1"/>
      <c r="W44" s="1"/>
      <c r="X44" s="1"/>
      <c r="Y44" s="1"/>
      <c r="Z44" s="1"/>
    </row>
    <row r="45" spans="1:26" ht="15.75" customHeight="1" x14ac:dyDescent="0.2">
      <c r="A45" s="7" t="s">
        <v>51</v>
      </c>
      <c r="B45" s="10"/>
      <c r="C45" s="7" t="s">
        <v>52</v>
      </c>
      <c r="D45" s="11"/>
      <c r="E45" s="7"/>
      <c r="F45" s="7" t="s">
        <v>49</v>
      </c>
      <c r="G45" s="12">
        <f>$B$45*'Scoring Backend'!$C$4 + $B$47*'Scoring Backend'!$C$6 + $B$48*'Scoring Backend'!$C$7 + $B$49*'Scoring Backend'!$C$8</f>
        <v>0</v>
      </c>
      <c r="H45" s="2"/>
      <c r="I45" s="2"/>
      <c r="J45" s="2"/>
      <c r="K45" s="1"/>
      <c r="L45" s="1"/>
      <c r="M45" s="1"/>
      <c r="N45" s="1"/>
      <c r="O45" s="1"/>
      <c r="P45" s="1"/>
      <c r="Q45" s="1"/>
      <c r="R45" s="1"/>
      <c r="S45" s="1"/>
      <c r="T45" s="1"/>
      <c r="U45" s="1"/>
      <c r="V45" s="1"/>
      <c r="W45" s="1"/>
      <c r="X45" s="1"/>
      <c r="Y45" s="1"/>
      <c r="Z45" s="1"/>
    </row>
    <row r="46" spans="1:26" ht="15.75" customHeight="1" x14ac:dyDescent="0.2">
      <c r="A46" s="7" t="s">
        <v>53</v>
      </c>
      <c r="B46" s="10"/>
      <c r="C46" s="7" t="s">
        <v>54</v>
      </c>
      <c r="D46" s="11"/>
      <c r="E46" s="7"/>
      <c r="F46" s="7" t="s">
        <v>200</v>
      </c>
      <c r="G46" s="12">
        <f>$B$47*'Scoring Backend'!$G$4 + $B$48*'Scoring Backend'!$G$5 + $B$49*'Scoring Backend'!$G$6</f>
        <v>0</v>
      </c>
      <c r="H46" s="2"/>
      <c r="I46" s="2"/>
      <c r="J46" s="2"/>
      <c r="K46" s="1"/>
      <c r="L46" s="1"/>
      <c r="M46" s="1"/>
      <c r="N46" s="1"/>
      <c r="O46" s="1"/>
      <c r="P46" s="1"/>
      <c r="Q46" s="1"/>
      <c r="R46" s="1"/>
      <c r="S46" s="1"/>
      <c r="T46" s="1"/>
      <c r="U46" s="1"/>
      <c r="V46" s="1"/>
      <c r="W46" s="1"/>
      <c r="X46" s="1"/>
      <c r="Y46" s="1"/>
      <c r="Z46" s="1"/>
    </row>
    <row r="47" spans="1:26" ht="15.75" customHeight="1" x14ac:dyDescent="0.2">
      <c r="A47" s="7" t="s">
        <v>55</v>
      </c>
      <c r="B47" s="10"/>
      <c r="C47" s="7" t="s">
        <v>201</v>
      </c>
      <c r="D47" s="7"/>
      <c r="E47" s="7"/>
      <c r="F47" s="7" t="s">
        <v>202</v>
      </c>
      <c r="G47" s="12" t="str">
        <f>IF(COUNTA($B$45:$B$49)=0,"Status",IF($B$46&gt;=G46,"PASS","FAIL"))</f>
        <v>Status</v>
      </c>
      <c r="H47" s="2"/>
      <c r="I47" s="2"/>
      <c r="J47" s="2"/>
      <c r="K47" s="1"/>
      <c r="L47" s="1"/>
      <c r="M47" s="1"/>
      <c r="N47" s="1"/>
      <c r="O47" s="1"/>
      <c r="P47" s="1"/>
      <c r="Q47" s="1"/>
      <c r="R47" s="1"/>
      <c r="S47" s="1"/>
      <c r="T47" s="1"/>
      <c r="U47" s="1"/>
      <c r="V47" s="1"/>
      <c r="W47" s="1"/>
      <c r="X47" s="1"/>
      <c r="Y47" s="1"/>
      <c r="Z47" s="1"/>
    </row>
    <row r="48" spans="1:26" ht="15.75" customHeight="1" x14ac:dyDescent="0.2">
      <c r="A48" s="7" t="s">
        <v>56</v>
      </c>
      <c r="B48" s="10"/>
      <c r="C48" s="7" t="s">
        <v>203</v>
      </c>
      <c r="D48" s="7"/>
      <c r="E48" s="7"/>
      <c r="F48" s="7" t="s">
        <v>57</v>
      </c>
      <c r="G48" s="12" t="str">
        <f>IF(COUNTA($B$45:$B$49)=0,"Status",IF(G45&gt;='Scoring Backend'!$B$20,"PASS","FAIL"))</f>
        <v>Status</v>
      </c>
      <c r="H48" s="2"/>
      <c r="I48" s="2"/>
      <c r="J48" s="2"/>
      <c r="K48" s="1"/>
      <c r="L48" s="1"/>
      <c r="M48" s="1"/>
      <c r="N48" s="1"/>
      <c r="O48" s="1"/>
      <c r="P48" s="1"/>
      <c r="Q48" s="1"/>
      <c r="R48" s="1"/>
      <c r="S48" s="1"/>
      <c r="T48" s="1"/>
      <c r="U48" s="1"/>
      <c r="V48" s="1"/>
      <c r="W48" s="1"/>
      <c r="X48" s="1"/>
      <c r="Y48" s="1"/>
      <c r="Z48" s="1"/>
    </row>
    <row r="49" spans="1:26" ht="15.75" customHeight="1" x14ac:dyDescent="0.2">
      <c r="A49" s="7" t="s">
        <v>58</v>
      </c>
      <c r="B49" s="10"/>
      <c r="C49" s="7" t="s">
        <v>204</v>
      </c>
      <c r="D49" s="7"/>
      <c r="E49" s="7"/>
      <c r="F49" s="7" t="s">
        <v>59</v>
      </c>
      <c r="G49" s="12">
        <f>$B$45*'Scoring Backend'!$B$4 + $B$46*'Scoring Backend'!$B$5 + $B$47*'Scoring Backend'!$B$6 + $B$48*'Scoring Backend'!$B$7 + $B$49*'Scoring Backend'!$B$8</f>
        <v>0</v>
      </c>
      <c r="H49" s="2"/>
      <c r="I49" s="2"/>
      <c r="J49" s="2"/>
      <c r="K49" s="1"/>
      <c r="L49" s="1"/>
      <c r="M49" s="1"/>
      <c r="N49" s="1"/>
      <c r="O49" s="1"/>
      <c r="P49" s="1"/>
      <c r="Q49" s="1"/>
      <c r="R49" s="1"/>
      <c r="S49" s="1"/>
      <c r="T49" s="1"/>
      <c r="U49" s="1"/>
      <c r="V49" s="1"/>
      <c r="W49" s="1"/>
      <c r="X49" s="1"/>
      <c r="Y49" s="1"/>
      <c r="Z49" s="1"/>
    </row>
    <row r="50" spans="1:26" ht="15.75" customHeight="1" x14ac:dyDescent="0.2">
      <c r="A50" s="13" t="s">
        <v>60</v>
      </c>
      <c r="B50" s="14"/>
      <c r="C50" s="14"/>
      <c r="D50" s="7"/>
      <c r="E50" s="7"/>
      <c r="F50" s="15" t="s">
        <v>61</v>
      </c>
      <c r="G50" s="16" t="str">
        <f>IF(COUNT($B$45:$B$49)=0,"",IF(G45&lt;=0,"",'Scoring Backend'!$B$19/G45))</f>
        <v/>
      </c>
      <c r="H50" s="2"/>
      <c r="I50" s="2"/>
      <c r="J50" s="2"/>
      <c r="K50" s="1"/>
      <c r="L50" s="1"/>
      <c r="M50" s="1"/>
      <c r="N50" s="1"/>
      <c r="O50" s="1"/>
      <c r="P50" s="1"/>
      <c r="Q50" s="1"/>
      <c r="R50" s="1"/>
      <c r="S50" s="1"/>
      <c r="T50" s="1"/>
      <c r="U50" s="1"/>
      <c r="V50" s="1"/>
      <c r="W50" s="1"/>
      <c r="X50" s="1"/>
      <c r="Y50" s="1"/>
      <c r="Z50" s="1"/>
    </row>
    <row r="51" spans="1:26" ht="24" customHeight="1" x14ac:dyDescent="0.2">
      <c r="A51" s="17" t="str">
        <f>IF(COUNT($B$45:$B$49)=0,"",REPT("👷 ",MIN(N($B$45),12))&amp;IF(N($B$45)&gt;12,"+",""))</f>
        <v/>
      </c>
      <c r="B51" s="17" t="str">
        <f>IF(COUNT($B$45:$B$49)=0,"",REPT("🦺 ",MIN(N($B$46),12))&amp;IF(N($B$46)&gt;12,"+","")&amp;"  "&amp;REPT("🤖 ",MIN(SUM($B$47:$B$49),12))&amp;IF(SUM($B$47:$B$49)&gt;12,"+",""))</f>
        <v/>
      </c>
      <c r="C51" s="14" t="str">
        <f>IF(COUNT($B$45:$B$49)=0,"","Material Workers: "&amp;N($B$45)&amp;" | Support Workers: "&amp;N($B$46)&amp;" | Robots/Fleets: "&amp;SUM($B$47:$B$49))</f>
        <v/>
      </c>
      <c r="D51" s="7"/>
      <c r="E51" s="7"/>
      <c r="F51" s="15" t="s">
        <v>62</v>
      </c>
      <c r="G51" s="18" t="str">
        <f>IF(COUNT($B$45:$B$49)=0,"Status",IF(AND(ISNUMBER(G50),G50&lt;='Scoring Backend'!$B$18),"ON TRACK","DELAY RISK"))</f>
        <v>Status</v>
      </c>
      <c r="H51" s="2"/>
      <c r="I51" s="2"/>
      <c r="J51" s="2"/>
      <c r="K51" s="1"/>
      <c r="L51" s="1"/>
      <c r="M51" s="1"/>
      <c r="N51" s="1"/>
      <c r="O51" s="1"/>
      <c r="P51" s="1"/>
      <c r="Q51" s="1"/>
      <c r="R51" s="1"/>
      <c r="S51" s="1"/>
      <c r="T51" s="1"/>
      <c r="U51" s="1"/>
      <c r="V51" s="1"/>
      <c r="W51" s="1"/>
      <c r="X51" s="1"/>
      <c r="Y51" s="1"/>
      <c r="Z51" s="1"/>
    </row>
    <row r="52" spans="1:26" ht="15.75" customHeight="1" x14ac:dyDescent="0.2">
      <c r="A52" s="8" t="s">
        <v>63</v>
      </c>
      <c r="B52" s="8"/>
      <c r="C52" s="8"/>
      <c r="D52" s="7"/>
      <c r="E52" s="7"/>
      <c r="F52" s="15" t="s">
        <v>64</v>
      </c>
      <c r="G52" s="19" t="str">
        <f>IF(COUNT($B$45:$B$49)=0,"",REPT("█",ROUND(MIN(1,G45/'Scoring Backend'!$B$20)*20,0))&amp;REPT("░",20-ROUND(MIN(1,G45/'Scoring Backend'!$B$20)*20,0))&amp;" "&amp;TEXT(G45/'Scoring Backend'!$B$20,"0%"))</f>
        <v/>
      </c>
      <c r="H52" s="2"/>
      <c r="I52" s="2"/>
      <c r="J52" s="2"/>
      <c r="K52" s="1"/>
      <c r="L52" s="1"/>
      <c r="M52" s="1"/>
      <c r="N52" s="1"/>
      <c r="O52" s="1"/>
      <c r="P52" s="1"/>
      <c r="Q52" s="1"/>
      <c r="R52" s="1"/>
      <c r="S52" s="1"/>
      <c r="T52" s="1"/>
      <c r="U52" s="1"/>
      <c r="V52" s="1"/>
      <c r="W52" s="1"/>
      <c r="X52" s="1"/>
      <c r="Y52" s="1"/>
      <c r="Z52" s="1"/>
    </row>
    <row r="53" spans="1:26" ht="15.75" customHeight="1" x14ac:dyDescent="0.2">
      <c r="A53" s="7"/>
      <c r="B53" s="81"/>
      <c r="C53" s="76"/>
      <c r="D53" s="2"/>
      <c r="E53" s="2"/>
      <c r="F53" s="2"/>
      <c r="G53" s="2"/>
      <c r="H53" s="2"/>
      <c r="I53" s="2"/>
      <c r="J53" s="2"/>
      <c r="K53" s="1"/>
      <c r="L53" s="1"/>
      <c r="M53" s="1"/>
      <c r="N53" s="1"/>
      <c r="O53" s="1"/>
      <c r="P53" s="1"/>
      <c r="Q53" s="1"/>
      <c r="R53" s="1"/>
      <c r="S53" s="1"/>
      <c r="T53" s="1"/>
      <c r="U53" s="1"/>
      <c r="V53" s="1"/>
      <c r="W53" s="1"/>
      <c r="X53" s="1"/>
      <c r="Y53" s="1"/>
      <c r="Z53" s="1"/>
    </row>
    <row r="54" spans="1:26" ht="31.5" customHeight="1" x14ac:dyDescent="0.2">
      <c r="A54" s="7"/>
      <c r="B54" s="81"/>
      <c r="C54" s="76"/>
      <c r="D54" s="2"/>
      <c r="E54" s="2"/>
      <c r="F54" s="2"/>
      <c r="G54" s="2"/>
      <c r="H54" s="2"/>
      <c r="I54" s="2"/>
      <c r="J54" s="2"/>
      <c r="K54" s="1"/>
      <c r="L54" s="1"/>
      <c r="M54" s="1"/>
      <c r="N54" s="1"/>
      <c r="O54" s="1"/>
      <c r="P54" s="1"/>
      <c r="Q54" s="1"/>
      <c r="R54" s="1"/>
      <c r="S54" s="1"/>
      <c r="T54" s="1"/>
      <c r="U54" s="1"/>
      <c r="V54" s="1"/>
      <c r="W54" s="1"/>
      <c r="X54" s="1"/>
      <c r="Y54" s="1"/>
      <c r="Z54" s="1"/>
    </row>
    <row r="55" spans="1:26" ht="15.75" customHeight="1" x14ac:dyDescent="0.2">
      <c r="A55" s="7"/>
      <c r="B55" s="81"/>
      <c r="C55" s="76"/>
      <c r="D55" s="2"/>
      <c r="E55" s="2"/>
      <c r="F55" s="2"/>
      <c r="G55" s="2"/>
      <c r="H55" s="2"/>
      <c r="I55" s="2"/>
      <c r="J55" s="2"/>
      <c r="K55" s="1"/>
      <c r="L55" s="1"/>
      <c r="M55" s="1"/>
      <c r="N55" s="1"/>
      <c r="O55" s="1"/>
      <c r="P55" s="1"/>
      <c r="Q55" s="1"/>
      <c r="R55" s="1"/>
      <c r="S55" s="1"/>
      <c r="T55" s="1"/>
      <c r="U55" s="1"/>
      <c r="V55" s="1"/>
      <c r="W55" s="1"/>
      <c r="X55" s="1"/>
      <c r="Y55" s="1"/>
      <c r="Z55" s="1"/>
    </row>
    <row r="56" spans="1:26" ht="31.5" customHeight="1" x14ac:dyDescent="0.2">
      <c r="A56" s="7" t="s">
        <v>65</v>
      </c>
      <c r="B56" s="7" t="s">
        <v>66</v>
      </c>
      <c r="C56" s="7"/>
      <c r="D56" s="2"/>
      <c r="E56" s="2"/>
      <c r="F56" s="2"/>
      <c r="G56" s="2"/>
      <c r="H56" s="2"/>
      <c r="I56" s="2"/>
      <c r="J56" s="2"/>
      <c r="K56" s="1"/>
      <c r="L56" s="1"/>
      <c r="M56" s="1"/>
      <c r="N56" s="1"/>
      <c r="O56" s="1"/>
      <c r="P56" s="1"/>
      <c r="Q56" s="1"/>
      <c r="R56" s="1"/>
      <c r="S56" s="1"/>
      <c r="T56" s="1"/>
      <c r="U56" s="1"/>
      <c r="V56" s="1"/>
      <c r="W56" s="1"/>
      <c r="X56" s="1"/>
      <c r="Y56" s="1"/>
      <c r="Z56" s="1"/>
    </row>
    <row r="57" spans="1:26" ht="15.75" customHeight="1" x14ac:dyDescent="0.2">
      <c r="A57" s="2"/>
      <c r="B57" s="2"/>
      <c r="C57" s="2"/>
      <c r="D57" s="2"/>
      <c r="E57" s="2"/>
      <c r="F57" s="2"/>
      <c r="G57" s="2"/>
      <c r="H57" s="2"/>
      <c r="I57" s="2"/>
      <c r="J57" s="2"/>
      <c r="K57" s="1"/>
      <c r="L57" s="1"/>
      <c r="M57" s="1"/>
      <c r="N57" s="1"/>
      <c r="O57" s="1"/>
      <c r="P57" s="1"/>
      <c r="Q57" s="1"/>
      <c r="R57" s="1"/>
      <c r="S57" s="1"/>
      <c r="T57" s="1"/>
      <c r="U57" s="1"/>
      <c r="V57" s="1"/>
      <c r="W57" s="1"/>
      <c r="X57" s="1"/>
      <c r="Y57" s="1"/>
      <c r="Z57" s="1"/>
    </row>
    <row r="58" spans="1:26" ht="15.75" customHeight="1" x14ac:dyDescent="0.2">
      <c r="A58" s="2"/>
      <c r="B58" s="2"/>
      <c r="C58" s="2"/>
      <c r="D58" s="2"/>
      <c r="E58" s="2"/>
      <c r="F58" s="2"/>
      <c r="G58" s="2"/>
      <c r="H58" s="2"/>
      <c r="I58" s="2"/>
      <c r="J58" s="2"/>
      <c r="K58" s="1"/>
      <c r="L58" s="1"/>
      <c r="M58" s="1"/>
      <c r="N58" s="1"/>
      <c r="O58" s="1"/>
      <c r="P58" s="1"/>
      <c r="Q58" s="1"/>
      <c r="R58" s="1"/>
      <c r="S58" s="1"/>
      <c r="T58" s="1"/>
      <c r="U58" s="1"/>
      <c r="V58" s="1"/>
      <c r="W58" s="1"/>
      <c r="X58" s="1"/>
      <c r="Y58" s="1"/>
      <c r="Z58" s="1"/>
    </row>
    <row r="59" spans="1:26" ht="15.75" customHeight="1" x14ac:dyDescent="0.2">
      <c r="A59" s="79" t="s">
        <v>67</v>
      </c>
      <c r="B59" s="76"/>
      <c r="C59" s="76"/>
      <c r="D59" s="76"/>
      <c r="E59" s="76"/>
      <c r="F59" s="76"/>
      <c r="G59" s="76"/>
      <c r="H59" s="76"/>
      <c r="I59" s="76"/>
      <c r="J59" s="76"/>
      <c r="K59" s="1"/>
      <c r="L59" s="1"/>
      <c r="M59" s="1"/>
      <c r="N59" s="1"/>
      <c r="O59" s="1"/>
      <c r="P59" s="1"/>
      <c r="Q59" s="1"/>
      <c r="R59" s="1"/>
      <c r="S59" s="1"/>
      <c r="T59" s="1"/>
      <c r="U59" s="1"/>
      <c r="V59" s="1"/>
      <c r="W59" s="1"/>
      <c r="X59" s="1"/>
      <c r="Y59" s="1"/>
      <c r="Z59" s="1"/>
    </row>
    <row r="60" spans="1:26" ht="24" customHeight="1" x14ac:dyDescent="0.2">
      <c r="A60" s="80" t="s">
        <v>68</v>
      </c>
      <c r="B60" s="76"/>
      <c r="C60" s="76"/>
      <c r="D60" s="76"/>
      <c r="E60" s="76"/>
      <c r="F60" s="76"/>
      <c r="G60" s="76"/>
      <c r="H60" s="76"/>
      <c r="I60" s="76"/>
      <c r="J60" s="76"/>
      <c r="K60" s="1"/>
      <c r="L60" s="1"/>
      <c r="M60" s="1"/>
      <c r="N60" s="1"/>
      <c r="O60" s="1"/>
      <c r="P60" s="1"/>
      <c r="Q60" s="1"/>
      <c r="R60" s="1"/>
      <c r="S60" s="1"/>
      <c r="T60" s="1"/>
      <c r="U60" s="1"/>
      <c r="V60" s="1"/>
      <c r="W60" s="1"/>
      <c r="X60" s="1"/>
      <c r="Y60" s="1"/>
      <c r="Z60" s="1"/>
    </row>
    <row r="61" spans="1:26" ht="24" customHeight="1" x14ac:dyDescent="0.2">
      <c r="A61" s="76"/>
      <c r="B61" s="76"/>
      <c r="C61" s="76"/>
      <c r="D61" s="76"/>
      <c r="E61" s="76"/>
      <c r="F61" s="76"/>
      <c r="G61" s="76"/>
      <c r="H61" s="76"/>
      <c r="I61" s="76"/>
      <c r="J61" s="76"/>
      <c r="K61" s="1"/>
      <c r="L61" s="1"/>
      <c r="M61" s="1"/>
      <c r="N61" s="1"/>
      <c r="O61" s="1"/>
      <c r="P61" s="1"/>
      <c r="Q61" s="1"/>
      <c r="R61" s="1"/>
      <c r="S61" s="1"/>
      <c r="T61" s="1"/>
      <c r="U61" s="1"/>
      <c r="V61" s="1"/>
      <c r="W61" s="1"/>
      <c r="X61" s="1"/>
      <c r="Y61" s="1"/>
      <c r="Z61" s="1"/>
    </row>
    <row r="62" spans="1:26" ht="24" customHeight="1" x14ac:dyDescent="0.2">
      <c r="A62" s="76"/>
      <c r="B62" s="76"/>
      <c r="C62" s="76"/>
      <c r="D62" s="76"/>
      <c r="E62" s="76"/>
      <c r="F62" s="76"/>
      <c r="G62" s="76"/>
      <c r="H62" s="76"/>
      <c r="I62" s="76"/>
      <c r="J62" s="76"/>
      <c r="K62" s="1"/>
      <c r="L62" s="1"/>
      <c r="M62" s="1"/>
      <c r="N62" s="1"/>
      <c r="O62" s="1"/>
      <c r="P62" s="1"/>
      <c r="Q62" s="1"/>
      <c r="R62" s="1"/>
      <c r="S62" s="1"/>
      <c r="T62" s="1"/>
      <c r="U62" s="1"/>
      <c r="V62" s="1"/>
      <c r="W62" s="1"/>
      <c r="X62" s="1"/>
      <c r="Y62" s="1"/>
      <c r="Z62" s="1"/>
    </row>
    <row r="63" spans="1:26" ht="24" customHeight="1" x14ac:dyDescent="0.2">
      <c r="A63" s="76"/>
      <c r="B63" s="76"/>
      <c r="C63" s="76"/>
      <c r="D63" s="76"/>
      <c r="E63" s="76"/>
      <c r="F63" s="76"/>
      <c r="G63" s="76"/>
      <c r="H63" s="76"/>
      <c r="I63" s="76"/>
      <c r="J63" s="76"/>
      <c r="K63" s="1"/>
      <c r="L63" s="1"/>
      <c r="M63" s="1"/>
      <c r="N63" s="1"/>
      <c r="O63" s="1"/>
      <c r="P63" s="1"/>
      <c r="Q63" s="1"/>
      <c r="R63" s="1"/>
      <c r="S63" s="1"/>
      <c r="T63" s="1"/>
      <c r="U63" s="1"/>
      <c r="V63" s="1"/>
      <c r="W63" s="1"/>
      <c r="X63" s="1"/>
      <c r="Y63" s="1"/>
      <c r="Z63" s="1"/>
    </row>
    <row r="64" spans="1:26" ht="15.75" customHeight="1" x14ac:dyDescent="0.2">
      <c r="A64" s="2"/>
      <c r="B64" s="2"/>
      <c r="C64" s="2"/>
      <c r="D64" s="2"/>
      <c r="E64" s="2"/>
      <c r="F64" s="2"/>
      <c r="G64" s="2"/>
      <c r="H64" s="2"/>
      <c r="I64" s="2"/>
      <c r="J64" s="2"/>
      <c r="K64" s="1"/>
      <c r="L64" s="1"/>
      <c r="M64" s="1"/>
      <c r="N64" s="1"/>
      <c r="O64" s="1"/>
      <c r="P64" s="1"/>
      <c r="Q64" s="1"/>
      <c r="R64" s="1"/>
      <c r="S64" s="1"/>
      <c r="T64" s="1"/>
      <c r="U64" s="1"/>
      <c r="V64" s="1"/>
      <c r="W64" s="1"/>
      <c r="X64" s="1"/>
      <c r="Y64" s="1"/>
      <c r="Z64" s="1"/>
    </row>
    <row r="65" spans="1:26" ht="31.5" customHeight="1" x14ac:dyDescent="0.2">
      <c r="A65" s="21" t="s">
        <v>69</v>
      </c>
      <c r="B65" s="21"/>
      <c r="C65" s="21" t="s">
        <v>70</v>
      </c>
      <c r="D65" s="21" t="s">
        <v>71</v>
      </c>
      <c r="E65" s="21" t="s">
        <v>72</v>
      </c>
      <c r="F65" s="6" t="s">
        <v>73</v>
      </c>
      <c r="G65" s="6" t="s">
        <v>74</v>
      </c>
      <c r="H65" s="2"/>
      <c r="I65" s="2"/>
      <c r="J65" s="2"/>
      <c r="K65" s="1"/>
      <c r="L65" s="1"/>
      <c r="M65" s="1"/>
      <c r="N65" s="1"/>
      <c r="O65" s="1"/>
      <c r="P65" s="1"/>
      <c r="Q65" s="1"/>
      <c r="R65" s="1"/>
      <c r="S65" s="1"/>
      <c r="T65" s="1"/>
      <c r="U65" s="1"/>
      <c r="V65" s="1"/>
      <c r="W65" s="1"/>
      <c r="X65" s="1"/>
      <c r="Y65" s="1"/>
      <c r="Z65" s="1"/>
    </row>
    <row r="66" spans="1:26" ht="15.75" customHeight="1" x14ac:dyDescent="0.2">
      <c r="A66" s="22" t="s">
        <v>75</v>
      </c>
      <c r="B66" s="7"/>
      <c r="C66" s="23">
        <v>0.4</v>
      </c>
      <c r="D66" s="23">
        <v>0.3</v>
      </c>
      <c r="E66" s="23">
        <v>0.3</v>
      </c>
      <c r="F66" s="7" t="s">
        <v>76</v>
      </c>
      <c r="G66" s="7" t="s">
        <v>77</v>
      </c>
      <c r="H66" s="2"/>
      <c r="I66" s="2"/>
      <c r="J66" s="2"/>
      <c r="K66" s="1"/>
      <c r="L66" s="1"/>
      <c r="M66" s="1"/>
      <c r="N66" s="1"/>
      <c r="O66" s="1"/>
      <c r="P66" s="1"/>
      <c r="Q66" s="1"/>
      <c r="R66" s="1"/>
      <c r="S66" s="1"/>
      <c r="T66" s="1"/>
      <c r="U66" s="1"/>
      <c r="V66" s="1"/>
      <c r="W66" s="1"/>
      <c r="X66" s="1"/>
      <c r="Y66" s="1"/>
      <c r="Z66" s="1"/>
    </row>
    <row r="67" spans="1:26" ht="15.75" customHeight="1" x14ac:dyDescent="0.2">
      <c r="A67" s="22" t="s">
        <v>78</v>
      </c>
      <c r="B67" s="7"/>
      <c r="C67" s="23">
        <v>0.3</v>
      </c>
      <c r="D67" s="23">
        <v>0.4</v>
      </c>
      <c r="E67" s="23">
        <v>0.3</v>
      </c>
      <c r="F67" s="7"/>
      <c r="G67" s="7"/>
      <c r="H67" s="2"/>
      <c r="I67" s="2"/>
      <c r="J67" s="2"/>
      <c r="K67" s="1"/>
      <c r="L67" s="1"/>
      <c r="M67" s="1"/>
      <c r="N67" s="1"/>
      <c r="O67" s="1"/>
      <c r="P67" s="1"/>
      <c r="Q67" s="1"/>
      <c r="R67" s="1"/>
      <c r="S67" s="1"/>
      <c r="T67" s="1"/>
      <c r="U67" s="1"/>
      <c r="V67" s="1"/>
      <c r="W67" s="1"/>
      <c r="X67" s="1"/>
      <c r="Y67" s="1"/>
      <c r="Z67" s="1"/>
    </row>
    <row r="68" spans="1:26" ht="15.75" customHeight="1" x14ac:dyDescent="0.2">
      <c r="A68" s="22" t="s">
        <v>79</v>
      </c>
      <c r="B68" s="7"/>
      <c r="C68" s="23">
        <v>0.3</v>
      </c>
      <c r="D68" s="23">
        <v>0.3</v>
      </c>
      <c r="E68" s="23">
        <v>0.4</v>
      </c>
      <c r="F68" s="7"/>
      <c r="G68" s="7"/>
      <c r="H68" s="2"/>
      <c r="I68" s="2"/>
      <c r="J68" s="2"/>
      <c r="K68" s="1"/>
      <c r="L68" s="1"/>
      <c r="M68" s="1"/>
      <c r="N68" s="1"/>
      <c r="O68" s="1"/>
      <c r="P68" s="1"/>
      <c r="Q68" s="1"/>
      <c r="R68" s="1"/>
      <c r="S68" s="1"/>
      <c r="T68" s="1"/>
      <c r="U68" s="1"/>
      <c r="V68" s="1"/>
      <c r="W68" s="1"/>
      <c r="X68" s="1"/>
      <c r="Y68" s="1"/>
      <c r="Z68" s="1"/>
    </row>
    <row r="69" spans="1:26" ht="48" customHeight="1" x14ac:dyDescent="0.2">
      <c r="A69" s="7" t="s">
        <v>80</v>
      </c>
      <c r="B69" s="82"/>
      <c r="C69" s="76"/>
      <c r="D69" s="76"/>
      <c r="E69" s="76"/>
      <c r="F69" s="7" t="s">
        <v>81</v>
      </c>
      <c r="G69" s="24" t="s">
        <v>82</v>
      </c>
      <c r="H69" s="2"/>
      <c r="I69" s="2"/>
      <c r="J69" s="2"/>
      <c r="K69" s="1"/>
      <c r="L69" s="1"/>
      <c r="M69" s="1"/>
      <c r="N69" s="1"/>
      <c r="O69" s="1"/>
      <c r="P69" s="1"/>
      <c r="Q69" s="1"/>
      <c r="R69" s="1"/>
      <c r="S69" s="1"/>
      <c r="T69" s="1"/>
      <c r="U69" s="1"/>
      <c r="V69" s="1"/>
      <c r="W69" s="1"/>
      <c r="X69" s="1"/>
      <c r="Y69" s="1"/>
      <c r="Z69" s="1"/>
    </row>
    <row r="70" spans="1:26" ht="15.75" customHeight="1" x14ac:dyDescent="0.2">
      <c r="A70" s="2"/>
      <c r="B70" s="2"/>
      <c r="C70" s="2"/>
      <c r="D70" s="2"/>
      <c r="E70" s="2"/>
      <c r="F70" s="2"/>
      <c r="G70" s="2"/>
      <c r="H70" s="2"/>
      <c r="I70" s="2"/>
      <c r="J70" s="2"/>
      <c r="K70" s="1"/>
      <c r="L70" s="1"/>
      <c r="M70" s="1"/>
      <c r="N70" s="1"/>
      <c r="O70" s="1"/>
      <c r="P70" s="1"/>
      <c r="Q70" s="1"/>
      <c r="R70" s="1"/>
      <c r="S70" s="1"/>
      <c r="T70" s="1"/>
      <c r="U70" s="1"/>
      <c r="V70" s="1"/>
      <c r="W70" s="1"/>
      <c r="X70" s="1"/>
      <c r="Y70" s="1"/>
      <c r="Z70" s="1"/>
    </row>
    <row r="71" spans="1:26" ht="15.75" customHeight="1" x14ac:dyDescent="0.2">
      <c r="A71" s="2"/>
      <c r="B71" s="2"/>
      <c r="C71" s="2"/>
      <c r="D71" s="2"/>
      <c r="E71" s="2"/>
      <c r="F71" s="2"/>
      <c r="G71" s="2"/>
      <c r="H71" s="2"/>
      <c r="I71" s="2"/>
      <c r="J71" s="2"/>
      <c r="K71" s="1"/>
      <c r="L71" s="1"/>
      <c r="M71" s="1"/>
      <c r="N71" s="1"/>
      <c r="O71" s="1"/>
      <c r="P71" s="1"/>
      <c r="Q71" s="1"/>
      <c r="R71" s="1"/>
      <c r="S71" s="1"/>
      <c r="T71" s="1"/>
      <c r="U71" s="1"/>
      <c r="V71" s="1"/>
      <c r="W71" s="1"/>
      <c r="X71" s="1"/>
      <c r="Y71" s="1"/>
      <c r="Z71" s="1"/>
    </row>
    <row r="72" spans="1:26" ht="15.75" customHeight="1" x14ac:dyDescent="0.2">
      <c r="A72" s="8" t="s">
        <v>83</v>
      </c>
      <c r="B72" s="8" t="s">
        <v>47</v>
      </c>
      <c r="C72" s="8" t="s">
        <v>48</v>
      </c>
      <c r="D72" s="8" t="s">
        <v>75</v>
      </c>
      <c r="E72" s="8" t="s">
        <v>78</v>
      </c>
      <c r="F72" s="25" t="s">
        <v>79</v>
      </c>
      <c r="G72" s="8" t="s">
        <v>84</v>
      </c>
      <c r="H72" s="7"/>
      <c r="I72" s="8" t="s">
        <v>85</v>
      </c>
      <c r="J72" s="8" t="s">
        <v>86</v>
      </c>
      <c r="K72" s="1"/>
      <c r="L72" s="1"/>
      <c r="M72" s="1"/>
      <c r="N72" s="1"/>
      <c r="O72" s="1"/>
      <c r="P72" s="1"/>
      <c r="Q72" s="1"/>
      <c r="R72" s="1"/>
      <c r="S72" s="1"/>
      <c r="T72" s="1"/>
      <c r="U72" s="1"/>
      <c r="V72" s="1"/>
      <c r="W72" s="1"/>
      <c r="X72" s="1"/>
      <c r="Y72" s="1"/>
      <c r="Z72" s="1"/>
    </row>
    <row r="73" spans="1:26" ht="15.75" customHeight="1" x14ac:dyDescent="0.2">
      <c r="A73" s="7" t="s">
        <v>51</v>
      </c>
      <c r="B73" s="10"/>
      <c r="C73" s="7" t="s">
        <v>52</v>
      </c>
      <c r="D73" s="7">
        <v>0</v>
      </c>
      <c r="E73" s="7">
        <v>0</v>
      </c>
      <c r="F73" s="7">
        <v>0</v>
      </c>
      <c r="G73" s="12">
        <f>$B$73*'Scoring Backend'!$B$4</f>
        <v>0</v>
      </c>
      <c r="H73" s="7"/>
      <c r="I73" s="7"/>
      <c r="J73" s="12"/>
      <c r="K73" s="1"/>
      <c r="L73" s="1"/>
      <c r="M73" s="1"/>
      <c r="N73" s="1"/>
      <c r="O73" s="1"/>
      <c r="P73" s="1"/>
      <c r="Q73" s="1"/>
      <c r="R73" s="1"/>
      <c r="S73" s="1"/>
      <c r="T73" s="1"/>
      <c r="U73" s="1"/>
      <c r="V73" s="1"/>
      <c r="W73" s="1"/>
      <c r="X73" s="1"/>
      <c r="Y73" s="1"/>
      <c r="Z73" s="1"/>
    </row>
    <row r="74" spans="1:26" ht="15.75" customHeight="1" x14ac:dyDescent="0.2">
      <c r="A74" s="7" t="s">
        <v>53</v>
      </c>
      <c r="B74" s="10"/>
      <c r="C74" s="7" t="s">
        <v>54</v>
      </c>
      <c r="D74" s="7">
        <v>0</v>
      </c>
      <c r="E74" s="7">
        <v>0</v>
      </c>
      <c r="F74" s="7">
        <v>0</v>
      </c>
      <c r="G74" s="12">
        <f>$B$74*'Scoring Backend'!$B$5</f>
        <v>0</v>
      </c>
      <c r="H74" s="7"/>
      <c r="I74" s="7" t="s">
        <v>87</v>
      </c>
      <c r="J74" s="12">
        <f>$B$73*'Scoring Backend'!$C$4 + $B$75*'Scoring Backend'!$C$6 + $B$76*'Scoring Backend'!$C$7 + $B$77*'Scoring Backend'!$C$8</f>
        <v>0</v>
      </c>
      <c r="K74" s="1"/>
      <c r="L74" s="1"/>
      <c r="M74" s="1"/>
      <c r="N74" s="1"/>
      <c r="O74" s="1"/>
      <c r="P74" s="1"/>
      <c r="Q74" s="1"/>
      <c r="R74" s="1"/>
      <c r="S74" s="1"/>
      <c r="T74" s="1"/>
      <c r="U74" s="1"/>
      <c r="V74" s="1"/>
      <c r="W74" s="1"/>
      <c r="X74" s="1"/>
      <c r="Y74" s="1"/>
      <c r="Z74" s="1"/>
    </row>
    <row r="75" spans="1:26" ht="15.75" customHeight="1" x14ac:dyDescent="0.2">
      <c r="A75" s="7" t="s">
        <v>55</v>
      </c>
      <c r="B75" s="10"/>
      <c r="C75" s="7" t="s">
        <v>201</v>
      </c>
      <c r="D75" s="7">
        <f>'Scoring Backend'!$H$12</f>
        <v>5</v>
      </c>
      <c r="E75" s="7">
        <f>'Scoring Backend'!$I$12</f>
        <v>5</v>
      </c>
      <c r="F75" s="7">
        <f>'Scoring Backend'!$J$12</f>
        <v>8</v>
      </c>
      <c r="G75" s="12">
        <f>$B$75*'Scoring Backend'!$B$6</f>
        <v>0</v>
      </c>
      <c r="H75" s="7"/>
      <c r="I75" s="7" t="s">
        <v>200</v>
      </c>
      <c r="J75" s="12">
        <f>$B$75*'Scoring Backend'!$G$4 + $B$76*'Scoring Backend'!$G$5 + $B$77*'Scoring Backend'!$G$6</f>
        <v>0</v>
      </c>
      <c r="K75" s="1"/>
      <c r="L75" s="1"/>
      <c r="M75" s="1"/>
      <c r="N75" s="1"/>
      <c r="O75" s="1"/>
      <c r="P75" s="1"/>
      <c r="Q75" s="1"/>
      <c r="R75" s="1"/>
      <c r="S75" s="1"/>
      <c r="T75" s="1"/>
      <c r="U75" s="1"/>
      <c r="V75" s="1"/>
      <c r="W75" s="1"/>
      <c r="X75" s="1"/>
      <c r="Y75" s="1"/>
      <c r="Z75" s="1"/>
    </row>
    <row r="76" spans="1:26" ht="15.75" customHeight="1" x14ac:dyDescent="0.2">
      <c r="A76" s="7" t="s">
        <v>56</v>
      </c>
      <c r="B76" s="20"/>
      <c r="C76" s="7" t="s">
        <v>203</v>
      </c>
      <c r="D76" s="7">
        <f>'Scoring Backend'!$H$13</f>
        <v>10</v>
      </c>
      <c r="E76" s="7">
        <f>'Scoring Backend'!$I$13</f>
        <v>10</v>
      </c>
      <c r="F76" s="7">
        <f>'Scoring Backend'!$J$13</f>
        <v>12</v>
      </c>
      <c r="G76" s="12">
        <f>$B$76*'Scoring Backend'!$B$7</f>
        <v>0</v>
      </c>
      <c r="H76" s="7"/>
      <c r="I76" s="7" t="s">
        <v>202</v>
      </c>
      <c r="J76" s="12" t="str">
        <f>IF(COUNTA($B$69,$B$73:$B$77)=0,"Status",IF($B$74&gt;=J75,"PASS","FAIL"))</f>
        <v>Status</v>
      </c>
      <c r="K76" s="1"/>
      <c r="L76" s="1"/>
      <c r="M76" s="1"/>
      <c r="N76" s="1"/>
      <c r="O76" s="1"/>
      <c r="P76" s="1"/>
      <c r="Q76" s="1"/>
      <c r="R76" s="1"/>
      <c r="S76" s="1"/>
      <c r="T76" s="1"/>
      <c r="U76" s="1"/>
      <c r="V76" s="1"/>
      <c r="W76" s="1"/>
      <c r="X76" s="1"/>
      <c r="Y76" s="1"/>
      <c r="Z76" s="1"/>
    </row>
    <row r="77" spans="1:26" ht="15.75" customHeight="1" x14ac:dyDescent="0.2">
      <c r="A77" s="11" t="s">
        <v>58</v>
      </c>
      <c r="B77" s="7"/>
      <c r="C77" s="7" t="s">
        <v>204</v>
      </c>
      <c r="D77" s="11">
        <f>'Scoring Backend'!$H$14</f>
        <v>18</v>
      </c>
      <c r="E77" s="11">
        <f>'Scoring Backend'!$I$14</f>
        <v>8</v>
      </c>
      <c r="F77" s="11">
        <f>'Scoring Backend'!$J$14</f>
        <v>18</v>
      </c>
      <c r="G77" s="7">
        <f>$B$77*'Scoring Backend'!$B$8</f>
        <v>0</v>
      </c>
      <c r="H77" s="7"/>
      <c r="I77" s="7" t="s">
        <v>57</v>
      </c>
      <c r="J77" s="12" t="str">
        <f>IF(COUNTA($B$69,$B$73:$B$77)=0,"Status",IF(J74&gt;='Scoring Backend'!$B$20,"PASS","FAIL"))</f>
        <v>Status</v>
      </c>
      <c r="K77" s="1"/>
      <c r="L77" s="1"/>
      <c r="M77" s="1"/>
      <c r="N77" s="1"/>
      <c r="O77" s="1"/>
      <c r="P77" s="1"/>
      <c r="Q77" s="1"/>
      <c r="R77" s="1"/>
      <c r="S77" s="1"/>
      <c r="T77" s="1"/>
      <c r="U77" s="1"/>
      <c r="V77" s="1"/>
      <c r="W77" s="1"/>
      <c r="X77" s="1"/>
      <c r="Y77" s="1"/>
      <c r="Z77" s="1"/>
    </row>
    <row r="78" spans="1:26" ht="15.75" customHeight="1" x14ac:dyDescent="0.2">
      <c r="A78" s="7" t="s">
        <v>88</v>
      </c>
      <c r="B78" s="7"/>
      <c r="C78" s="7"/>
      <c r="D78" s="11"/>
      <c r="E78" s="7"/>
      <c r="F78" s="7"/>
      <c r="G78" s="7"/>
      <c r="H78" s="7"/>
      <c r="I78" s="7" t="s">
        <v>59</v>
      </c>
      <c r="J78" s="12">
        <f>SUM(G73:G77)</f>
        <v>0</v>
      </c>
      <c r="K78" s="1"/>
      <c r="L78" s="1"/>
      <c r="M78" s="1"/>
      <c r="N78" s="1"/>
      <c r="O78" s="1"/>
      <c r="P78" s="1"/>
      <c r="Q78" s="1"/>
      <c r="R78" s="1"/>
      <c r="S78" s="1"/>
      <c r="T78" s="1"/>
      <c r="U78" s="1"/>
      <c r="V78" s="1"/>
      <c r="W78" s="1"/>
      <c r="X78" s="1"/>
      <c r="Y78" s="1"/>
      <c r="Z78" s="1"/>
    </row>
    <row r="79" spans="1:26" ht="15.75" customHeight="1" x14ac:dyDescent="0.2">
      <c r="A79" s="26"/>
      <c r="B79" s="26"/>
      <c r="C79" s="26"/>
      <c r="D79" s="26"/>
      <c r="E79" s="26"/>
      <c r="F79" s="7"/>
      <c r="G79" s="7"/>
      <c r="H79" s="7"/>
      <c r="I79" s="7" t="s">
        <v>75</v>
      </c>
      <c r="J79" s="12" t="str">
        <f>IF(COUNTA($B$69,$B$73:$B$77)=0,"",MIN(100,'Scoring Backend'!$B$22+SUMPRODUCT($B$73:$B$77,$D$73:$D$77)))</f>
        <v/>
      </c>
      <c r="K79" s="1"/>
      <c r="L79" s="1"/>
      <c r="M79" s="1"/>
      <c r="N79" s="1"/>
      <c r="O79" s="1"/>
      <c r="P79" s="1"/>
      <c r="Q79" s="1"/>
      <c r="R79" s="1"/>
      <c r="S79" s="1"/>
      <c r="T79" s="1"/>
      <c r="U79" s="1"/>
      <c r="V79" s="1"/>
      <c r="W79" s="1"/>
      <c r="X79" s="1"/>
      <c r="Y79" s="1"/>
      <c r="Z79" s="1"/>
    </row>
    <row r="80" spans="1:26" ht="15.75" customHeight="1" x14ac:dyDescent="0.2">
      <c r="A80" s="26"/>
      <c r="B80" s="26"/>
      <c r="C80" s="26"/>
      <c r="D80" s="26"/>
      <c r="E80" s="26"/>
      <c r="F80" s="7"/>
      <c r="G80" s="7"/>
      <c r="H80" s="7"/>
      <c r="I80" s="7" t="s">
        <v>78</v>
      </c>
      <c r="J80" s="12" t="str">
        <f>IF(COUNTA($B$69,$B$73:$B$77)=0,"",MIN(100,'Scoring Backend'!$B$23+SUMPRODUCT($B$73:$B$77,$E$73:$E$77)))</f>
        <v/>
      </c>
      <c r="K80" s="1"/>
      <c r="L80" s="1"/>
      <c r="M80" s="1"/>
      <c r="N80" s="1"/>
      <c r="O80" s="1"/>
      <c r="P80" s="1"/>
      <c r="Q80" s="1"/>
      <c r="R80" s="1"/>
      <c r="S80" s="1"/>
      <c r="T80" s="1"/>
      <c r="U80" s="1"/>
      <c r="V80" s="1"/>
      <c r="W80" s="1"/>
      <c r="X80" s="1"/>
      <c r="Y80" s="1"/>
      <c r="Z80" s="1"/>
    </row>
    <row r="81" spans="1:26" ht="15.75" customHeight="1" x14ac:dyDescent="0.2">
      <c r="A81" s="26"/>
      <c r="B81" s="26"/>
      <c r="C81" s="26"/>
      <c r="D81" s="26"/>
      <c r="E81" s="26"/>
      <c r="F81" s="7"/>
      <c r="G81" s="7"/>
      <c r="H81" s="7"/>
      <c r="I81" s="7" t="s">
        <v>89</v>
      </c>
      <c r="J81" s="12" t="str">
        <f>IF(COUNTA($B$69,$B$73:$B$77)=0,"",MIN(100,'Scoring Backend'!$B$24+SUMPRODUCT($B$73:$B$77,$F$73:$F$77)))</f>
        <v/>
      </c>
      <c r="K81" s="1"/>
      <c r="L81" s="1"/>
      <c r="M81" s="1"/>
      <c r="N81" s="1"/>
      <c r="O81" s="1"/>
      <c r="P81" s="1"/>
      <c r="Q81" s="1"/>
      <c r="R81" s="1"/>
      <c r="S81" s="1"/>
      <c r="T81" s="1"/>
      <c r="U81" s="1"/>
      <c r="V81" s="1"/>
      <c r="W81" s="1"/>
      <c r="X81" s="1"/>
      <c r="Y81" s="1"/>
      <c r="Z81" s="1"/>
    </row>
    <row r="82" spans="1:26" ht="15.75" customHeight="1" x14ac:dyDescent="0.2">
      <c r="A82" s="7"/>
      <c r="B82" s="11"/>
      <c r="C82" s="11"/>
      <c r="D82" s="27"/>
      <c r="E82" s="27"/>
      <c r="F82" s="7"/>
      <c r="G82" s="7"/>
      <c r="H82" s="7"/>
      <c r="I82" s="11" t="s">
        <v>76</v>
      </c>
      <c r="J82" s="28" t="str">
        <f t="array" ref="J82">IF(OR($B$69="",COUNT($B$73:$B$77)=0),"",MAX(0,SUMPRODUCT($J$79:$J$81,INDEX($C$66:$E$68,0,MATCH($B$69,$C$65:$E$65,0)))-IF($J$89="Aligned",0,'Scoring Backend'!$G$26)))</f>
        <v/>
      </c>
      <c r="K82" s="1"/>
      <c r="L82" s="1"/>
      <c r="M82" s="1"/>
      <c r="N82" s="1"/>
      <c r="O82" s="1"/>
      <c r="P82" s="1"/>
      <c r="Q82" s="1"/>
      <c r="R82" s="1"/>
      <c r="S82" s="1"/>
      <c r="T82" s="1"/>
      <c r="U82" s="1"/>
      <c r="V82" s="1"/>
      <c r="W82" s="1"/>
      <c r="X82" s="1"/>
      <c r="Y82" s="1"/>
      <c r="Z82" s="1"/>
    </row>
    <row r="83" spans="1:26" ht="15.75" customHeight="1" x14ac:dyDescent="0.2">
      <c r="A83" s="7"/>
      <c r="B83" s="7"/>
      <c r="C83" s="11"/>
      <c r="D83" s="7"/>
      <c r="E83" s="7"/>
      <c r="F83" s="7"/>
      <c r="G83" s="7"/>
      <c r="H83" s="7"/>
      <c r="I83" s="7"/>
      <c r="J83" s="12"/>
      <c r="K83" s="1"/>
      <c r="L83" s="1"/>
      <c r="M83" s="1"/>
      <c r="N83" s="1"/>
      <c r="O83" s="1"/>
      <c r="P83" s="1"/>
      <c r="Q83" s="1"/>
      <c r="R83" s="1"/>
      <c r="S83" s="1"/>
      <c r="T83" s="1"/>
      <c r="U83" s="1"/>
      <c r="V83" s="1"/>
      <c r="W83" s="1"/>
      <c r="X83" s="1"/>
      <c r="Y83" s="1"/>
      <c r="Z83" s="1"/>
    </row>
    <row r="84" spans="1:26" ht="15.75" customHeight="1" x14ac:dyDescent="0.2">
      <c r="A84" s="7"/>
      <c r="B84" s="7"/>
      <c r="C84" s="7"/>
      <c r="D84" s="7"/>
      <c r="E84" s="7"/>
      <c r="F84" s="7"/>
      <c r="G84" s="7"/>
      <c r="H84" s="7"/>
      <c r="I84" s="29" t="s">
        <v>90</v>
      </c>
      <c r="J84" s="30" t="str">
        <f>IF(COUNT($B$73:$B$77)=0,"",IF(J74&lt;=0,"",'Scoring Backend'!$B$19/J74))</f>
        <v/>
      </c>
      <c r="K84" s="1"/>
      <c r="L84" s="1"/>
      <c r="M84" s="1"/>
      <c r="N84" s="1"/>
      <c r="O84" s="1"/>
      <c r="P84" s="1"/>
      <c r="Q84" s="1"/>
      <c r="R84" s="1"/>
      <c r="S84" s="1"/>
      <c r="T84" s="1"/>
      <c r="U84" s="1"/>
      <c r="V84" s="1"/>
      <c r="W84" s="1"/>
      <c r="X84" s="1"/>
      <c r="Y84" s="1"/>
      <c r="Z84" s="1"/>
    </row>
    <row r="85" spans="1:26" ht="15.75" customHeight="1" x14ac:dyDescent="0.2">
      <c r="A85" s="13" t="s">
        <v>60</v>
      </c>
      <c r="B85" s="14"/>
      <c r="C85" s="14"/>
      <c r="D85" s="7"/>
      <c r="E85" s="7"/>
      <c r="F85" s="7"/>
      <c r="G85" s="7"/>
      <c r="H85" s="7"/>
      <c r="I85" s="29" t="s">
        <v>64</v>
      </c>
      <c r="J85" s="29" t="str">
        <f>IF(COUNT($B$73:$B$77)=0,"",REPT("█",ROUND(MIN(1,J74/'Scoring Backend'!$B$20)*20,0))&amp;REPT("░",20-ROUND(MIN(1,J74/'Scoring Backend'!$B$20)*20,0))&amp;" "&amp;TEXT(J74/'Scoring Backend'!$B$20,"0%"))</f>
        <v/>
      </c>
      <c r="K85" s="1"/>
      <c r="L85" s="1"/>
      <c r="M85" s="1"/>
      <c r="N85" s="1"/>
      <c r="O85" s="1"/>
      <c r="P85" s="1"/>
      <c r="Q85" s="1"/>
      <c r="R85" s="1"/>
      <c r="S85" s="1"/>
      <c r="T85" s="1"/>
      <c r="U85" s="1"/>
      <c r="V85" s="1"/>
      <c r="W85" s="1"/>
      <c r="X85" s="1"/>
      <c r="Y85" s="1"/>
      <c r="Z85" s="1"/>
    </row>
    <row r="86" spans="1:26" ht="24" customHeight="1" x14ac:dyDescent="0.2">
      <c r="A86" s="17" t="str">
        <f>IF(COUNT($B$73:$B$77)=0,"",REPT("👷 ",MIN(N($B$73),12))&amp;IF(N($B$73)&gt;12,"+",""))</f>
        <v/>
      </c>
      <c r="B86" s="17" t="str">
        <f>IF(COUNT($B$73:$B$77)=0,"",REPT("🦺 ",MIN(N($B$74),12))&amp;IF(N($B$74)&gt;12,"+","")&amp;"  "&amp;REPT("🤖 ",MIN(SUM($B$75:$B$77),12))&amp;IF(SUM($B$75:$B$77)&gt;12,"+",""))</f>
        <v/>
      </c>
      <c r="C86" s="14" t="str">
        <f>IF(COUNT($B$73:$B$77)=0,"","Material Workers: "&amp;N($B$73)&amp;" | Support Workers: "&amp;N($B$74)&amp;" | Robots/Fleets: "&amp;SUM($B$75:$B$77))</f>
        <v/>
      </c>
      <c r="D86" s="7"/>
      <c r="E86" s="7"/>
      <c r="F86" s="7"/>
      <c r="G86" s="7"/>
      <c r="H86" s="7"/>
      <c r="I86" s="29" t="s">
        <v>91</v>
      </c>
      <c r="J86" s="31" t="str">
        <f>IF(COUNT($B$73:$B$77)=0,"",SUM($B$75:$B$77)/SUM($B$73:$B$77))</f>
        <v/>
      </c>
      <c r="K86" s="1"/>
      <c r="L86" s="1"/>
      <c r="M86" s="1"/>
      <c r="N86" s="1"/>
      <c r="O86" s="1"/>
      <c r="P86" s="1"/>
      <c r="Q86" s="1"/>
      <c r="R86" s="1"/>
      <c r="S86" s="1"/>
      <c r="T86" s="1"/>
      <c r="U86" s="1"/>
      <c r="V86" s="1"/>
      <c r="W86" s="1"/>
      <c r="X86" s="1"/>
      <c r="Y86" s="1"/>
      <c r="Z86" s="1"/>
    </row>
    <row r="87" spans="1:26" ht="15.75" customHeight="1" x14ac:dyDescent="0.2">
      <c r="A87" s="7"/>
      <c r="B87" s="7"/>
      <c r="C87" s="7"/>
      <c r="D87" s="7"/>
      <c r="E87" s="7"/>
      <c r="F87" s="7"/>
      <c r="G87" s="7"/>
      <c r="H87" s="7"/>
      <c r="I87" s="29" t="s">
        <v>92</v>
      </c>
      <c r="J87" s="32" t="str">
        <f>IF(COUNT($B$73:$B$77)=0,"",IFERROR(($B$75*'Scoring Backend'!$C$6+$B$76*'Scoring Backend'!$C$7+$B$77*'Scoring Backend'!$C$8)/J74,0))</f>
        <v/>
      </c>
      <c r="K87" s="1"/>
      <c r="L87" s="1"/>
      <c r="M87" s="1"/>
      <c r="N87" s="1"/>
      <c r="O87" s="1"/>
      <c r="P87" s="1"/>
      <c r="Q87" s="1"/>
      <c r="R87" s="1"/>
      <c r="S87" s="1"/>
      <c r="T87" s="1"/>
      <c r="U87" s="1"/>
      <c r="V87" s="1"/>
      <c r="W87" s="1"/>
      <c r="X87" s="1"/>
      <c r="Y87" s="1"/>
      <c r="Z87" s="1"/>
    </row>
    <row r="88" spans="1:26" ht="15.75" customHeight="1" x14ac:dyDescent="0.2">
      <c r="A88" s="7"/>
      <c r="B88" s="7"/>
      <c r="C88" s="7"/>
      <c r="D88" s="7"/>
      <c r="E88" s="7"/>
      <c r="F88" s="7"/>
      <c r="G88" s="7"/>
      <c r="H88" s="7"/>
      <c r="I88" s="29" t="s">
        <v>93</v>
      </c>
      <c r="J88" s="32" t="str">
        <f>IF(COUNT($B$73:$B$77)=0,"",IF(J74=0,"",IF(J87&lt;'Scoring Backend'!$G$22,"Human-Led",IF(J87&lt;='Scoring Backend'!$G$24,"Collaborative","Robot-Led"))))</f>
        <v/>
      </c>
      <c r="K88" s="1"/>
      <c r="L88" s="1"/>
      <c r="M88" s="1"/>
      <c r="N88" s="1"/>
      <c r="O88" s="1"/>
      <c r="P88" s="1"/>
      <c r="Q88" s="1"/>
      <c r="R88" s="1"/>
      <c r="S88" s="1"/>
      <c r="T88" s="1"/>
      <c r="U88" s="1"/>
      <c r="V88" s="1"/>
      <c r="W88" s="1"/>
      <c r="X88" s="1"/>
      <c r="Y88" s="1"/>
      <c r="Z88" s="1"/>
    </row>
    <row r="89" spans="1:26" ht="15.75" customHeight="1" x14ac:dyDescent="0.2">
      <c r="A89" s="7"/>
      <c r="B89" s="7"/>
      <c r="C89" s="7"/>
      <c r="D89" s="7"/>
      <c r="E89" s="7"/>
      <c r="F89" s="7"/>
      <c r="G89" s="7"/>
      <c r="H89" s="7"/>
      <c r="I89" s="29" t="s">
        <v>94</v>
      </c>
      <c r="J89" s="32" t="str">
        <f>IF(OR($B$69="",J88=""),"",IF($B$69=J88,"Aligned","Misaligned (-10 final score penalty)"))</f>
        <v/>
      </c>
      <c r="K89" s="1"/>
      <c r="L89" s="1"/>
      <c r="M89" s="1"/>
      <c r="N89" s="1"/>
      <c r="O89" s="1"/>
      <c r="P89" s="1"/>
      <c r="Q89" s="1"/>
      <c r="R89" s="1"/>
      <c r="S89" s="1"/>
      <c r="T89" s="1"/>
      <c r="U89" s="1"/>
      <c r="V89" s="1"/>
      <c r="W89" s="1"/>
      <c r="X89" s="1"/>
      <c r="Y89" s="1"/>
      <c r="Z89" s="1"/>
    </row>
    <row r="90" spans="1:26" ht="21.75" customHeight="1" x14ac:dyDescent="0.2">
      <c r="A90" s="2"/>
      <c r="B90" s="2"/>
      <c r="C90" s="2"/>
      <c r="D90" s="2"/>
      <c r="E90" s="2"/>
      <c r="F90" s="2"/>
      <c r="G90" s="2"/>
      <c r="H90" s="2"/>
      <c r="I90" s="83" t="s">
        <v>95</v>
      </c>
      <c r="J90" s="84"/>
      <c r="K90" s="84"/>
      <c r="L90" s="85"/>
      <c r="M90" s="1"/>
      <c r="N90" s="1"/>
      <c r="O90" s="1"/>
      <c r="P90" s="1"/>
      <c r="Q90" s="1"/>
      <c r="R90" s="1"/>
      <c r="S90" s="1"/>
      <c r="T90" s="1"/>
      <c r="U90" s="1"/>
      <c r="V90" s="1"/>
      <c r="W90" s="1"/>
      <c r="X90" s="1"/>
      <c r="Y90" s="1"/>
      <c r="Z90" s="1"/>
    </row>
    <row r="91" spans="1:26" ht="24" customHeight="1" x14ac:dyDescent="0.2">
      <c r="A91" s="2"/>
      <c r="B91" s="2"/>
      <c r="C91" s="2"/>
      <c r="D91" s="2"/>
      <c r="E91" s="2"/>
      <c r="F91" s="2"/>
      <c r="G91" s="2"/>
      <c r="H91" s="2"/>
      <c r="I91" s="33" t="s">
        <v>96</v>
      </c>
      <c r="J91" s="33" t="s">
        <v>97</v>
      </c>
      <c r="K91" s="33" t="s">
        <v>98</v>
      </c>
      <c r="L91" s="33" t="s">
        <v>99</v>
      </c>
      <c r="M91" s="1"/>
      <c r="N91" s="1"/>
      <c r="O91" s="1"/>
      <c r="P91" s="1"/>
      <c r="Q91" s="1"/>
      <c r="R91" s="1"/>
      <c r="S91" s="1"/>
      <c r="T91" s="1"/>
      <c r="U91" s="1"/>
      <c r="V91" s="1"/>
      <c r="W91" s="1"/>
      <c r="X91" s="1"/>
      <c r="Y91" s="1"/>
      <c r="Z91" s="1"/>
    </row>
    <row r="92" spans="1:26" ht="24" customHeight="1" x14ac:dyDescent="0.2">
      <c r="A92" s="2"/>
      <c r="B92" s="2"/>
      <c r="C92" s="2"/>
      <c r="D92" s="2"/>
      <c r="E92" s="2"/>
      <c r="F92" s="2"/>
      <c r="G92" s="2"/>
      <c r="H92" s="2"/>
      <c r="I92" s="34" t="s">
        <v>33</v>
      </c>
      <c r="J92" s="35" t="str">
        <f>IF(COUNT($B$73:$B$77)=0,"",$J$74)</f>
        <v/>
      </c>
      <c r="K92" s="36" t="str">
        <f>"&gt;= "&amp;'Scoring Backend'!$B$20&amp;" loads/day"</f>
        <v>&gt;= 20 loads/day</v>
      </c>
      <c r="L92" s="34" t="str">
        <f>IF(COUNTA($B$69,$B$73:$B$77)=0,"",IF($J$74&gt;='Scoring Backend'!$B$20,"PASS","FAIL"))</f>
        <v/>
      </c>
      <c r="M92" s="1"/>
      <c r="N92" s="1"/>
      <c r="O92" s="1"/>
      <c r="P92" s="1"/>
      <c r="Q92" s="1"/>
      <c r="R92" s="1"/>
      <c r="S92" s="1"/>
      <c r="T92" s="1"/>
      <c r="U92" s="1"/>
      <c r="V92" s="1"/>
      <c r="W92" s="1"/>
      <c r="X92" s="1"/>
      <c r="Y92" s="1"/>
      <c r="Z92" s="1"/>
    </row>
    <row r="93" spans="1:26" ht="24" customHeight="1" x14ac:dyDescent="0.2">
      <c r="A93" s="5" t="s">
        <v>100</v>
      </c>
      <c r="B93" s="1"/>
      <c r="C93" s="1"/>
      <c r="D93" s="1"/>
      <c r="E93" s="1"/>
      <c r="F93" s="1"/>
      <c r="G93" s="1"/>
      <c r="H93" s="1"/>
      <c r="I93" s="34" t="s">
        <v>101</v>
      </c>
      <c r="J93" s="37" t="str">
        <f>IF(COUNT($B$73:$B$77)=0,"",$J$78)</f>
        <v/>
      </c>
      <c r="K93" s="36" t="str">
        <f>"&lt;= "&amp;'Scoring Backend'!$G$18</f>
        <v>&lt;= 200</v>
      </c>
      <c r="L93" s="34" t="str">
        <f>IF(COUNTA($B$69,$B$73:$B$77)=0,"",IF($J$78&lt;='Scoring Backend'!$G$18,"PASS","FAIL"))</f>
        <v/>
      </c>
      <c r="M93" s="1"/>
      <c r="N93" s="1"/>
      <c r="O93" s="1"/>
      <c r="P93" s="1"/>
      <c r="Q93" s="1"/>
      <c r="R93" s="1"/>
      <c r="S93" s="1"/>
      <c r="T93" s="1"/>
      <c r="U93" s="1"/>
      <c r="V93" s="1"/>
      <c r="W93" s="1"/>
      <c r="X93" s="1"/>
      <c r="Y93" s="1"/>
      <c r="Z93" s="1"/>
    </row>
    <row r="94" spans="1:26" ht="24" customHeight="1" x14ac:dyDescent="0.2">
      <c r="A94" s="6" t="s">
        <v>102</v>
      </c>
      <c r="B94" s="6" t="s">
        <v>103</v>
      </c>
      <c r="C94" s="2"/>
      <c r="D94" s="2"/>
      <c r="E94" s="2"/>
      <c r="F94" s="2"/>
      <c r="G94" s="2"/>
      <c r="H94" s="2"/>
      <c r="I94" s="38" t="s">
        <v>75</v>
      </c>
      <c r="J94" s="39" t="str">
        <f>IF(COUNT($B$73:$B$77)=0,"",$J$79)</f>
        <v/>
      </c>
      <c r="K94" s="40" t="str">
        <f>"&gt;= "&amp;'Scoring Backend'!$G$20</f>
        <v>&gt;= 70</v>
      </c>
      <c r="L94" s="38" t="str">
        <f>IF(COUNTA($B$69,$B$73:$B$77)=0,"",IF($J$79&gt;='Scoring Backend'!$G$20,"PASS","FAIL"))</f>
        <v/>
      </c>
      <c r="M94" s="1"/>
      <c r="N94" s="1"/>
      <c r="O94" s="1"/>
      <c r="P94" s="1"/>
      <c r="Q94" s="1"/>
      <c r="R94" s="1"/>
      <c r="S94" s="1"/>
      <c r="T94" s="1"/>
      <c r="U94" s="1"/>
      <c r="V94" s="1"/>
      <c r="W94" s="1"/>
      <c r="X94" s="1"/>
      <c r="Y94" s="1"/>
      <c r="Z94" s="1"/>
    </row>
    <row r="95" spans="1:26" ht="24" customHeight="1" x14ac:dyDescent="0.2">
      <c r="A95" s="7" t="s">
        <v>104</v>
      </c>
      <c r="B95" s="7" t="s">
        <v>66</v>
      </c>
      <c r="C95" s="2"/>
      <c r="D95" s="2"/>
      <c r="E95" s="2"/>
      <c r="F95" s="2"/>
      <c r="G95" s="2"/>
      <c r="H95" s="2"/>
      <c r="I95" s="34" t="s">
        <v>78</v>
      </c>
      <c r="J95" s="37" t="str">
        <f>IF(COUNT($B$73:$B$77)=0,"",$J$80)</f>
        <v/>
      </c>
      <c r="K95" s="36" t="str">
        <f>"&gt;= "&amp;'Scoring Backend'!$G$19</f>
        <v>&gt;= 70</v>
      </c>
      <c r="L95" s="34" t="str">
        <f>IF(COUNTA($B$69,$B$73:$B$77)=0,"",IF($J$80&gt;='Scoring Backend'!$G$19,"PASS","FAIL"))</f>
        <v/>
      </c>
      <c r="M95" s="1"/>
      <c r="N95" s="1"/>
      <c r="O95" s="1"/>
      <c r="P95" s="1"/>
      <c r="Q95" s="1"/>
      <c r="R95" s="1"/>
      <c r="S95" s="1"/>
      <c r="T95" s="1"/>
      <c r="U95" s="1"/>
      <c r="V95" s="1"/>
      <c r="W95" s="1"/>
      <c r="X95" s="1"/>
      <c r="Y95" s="1"/>
      <c r="Z95" s="1"/>
    </row>
    <row r="96" spans="1:26" ht="24" customHeight="1" x14ac:dyDescent="0.2">
      <c r="A96" s="7" t="s">
        <v>105</v>
      </c>
      <c r="B96" s="7" t="s">
        <v>106</v>
      </c>
      <c r="C96" s="2"/>
      <c r="D96" s="2"/>
      <c r="E96" s="2"/>
      <c r="F96" s="2"/>
      <c r="G96" s="2"/>
      <c r="H96" s="2"/>
      <c r="I96" s="38" t="s">
        <v>89</v>
      </c>
      <c r="J96" s="39" t="str">
        <f>IF(COUNT($B$73:$B$77)=0,"",$J$81)</f>
        <v/>
      </c>
      <c r="K96" s="40" t="str">
        <f>"&gt;= "&amp;'Scoring Backend'!$G$21</f>
        <v>&gt;= 70</v>
      </c>
      <c r="L96" s="38" t="str">
        <f>IF(COUNTA($B$69,$B$73:$B$77)=0,"",IF($J$81&gt;='Scoring Backend'!$G$21,"PASS","FAIL"))</f>
        <v/>
      </c>
      <c r="M96" s="1"/>
      <c r="N96" s="1"/>
      <c r="O96" s="1"/>
      <c r="P96" s="1"/>
      <c r="Q96" s="1"/>
      <c r="R96" s="1"/>
      <c r="S96" s="1"/>
      <c r="T96" s="1"/>
      <c r="U96" s="1"/>
      <c r="V96" s="1"/>
      <c r="W96" s="1"/>
      <c r="X96" s="1"/>
      <c r="Y96" s="1"/>
      <c r="Z96" s="1"/>
    </row>
    <row r="97" spans="1:26" ht="27.75" customHeight="1" x14ac:dyDescent="0.2">
      <c r="A97" s="7" t="s">
        <v>107</v>
      </c>
      <c r="B97" s="7" t="s">
        <v>108</v>
      </c>
      <c r="C97" s="2"/>
      <c r="D97" s="2"/>
      <c r="E97" s="2"/>
      <c r="F97" s="2"/>
      <c r="G97" s="2"/>
      <c r="H97" s="2"/>
      <c r="I97" s="41" t="str">
        <f>IF(COUNTA($B$69,$B$73:$B$77)=0,"",IF(COUNTIF($L$92:$L$96,"FAIL")=0,"🟢 ELIGIBLE FOR FINAL COMPARISON","🔴 NOT ELIGIBLE - REVISE CONSTRAINTS"))</f>
        <v/>
      </c>
      <c r="J97" s="42"/>
      <c r="K97" s="42"/>
      <c r="L97" s="43"/>
      <c r="M97" s="1"/>
      <c r="N97" s="1"/>
      <c r="O97" s="1"/>
      <c r="P97" s="1"/>
      <c r="Q97" s="1"/>
      <c r="R97" s="1"/>
      <c r="S97" s="1"/>
      <c r="T97" s="1"/>
      <c r="U97" s="1"/>
      <c r="V97" s="1"/>
      <c r="W97" s="1"/>
      <c r="X97" s="1"/>
      <c r="Y97" s="1"/>
      <c r="Z97" s="1"/>
    </row>
    <row r="98" spans="1:26" ht="24" customHeight="1" x14ac:dyDescent="0.2">
      <c r="A98" s="2"/>
      <c r="B98" s="2"/>
      <c r="C98" s="2"/>
      <c r="D98" s="2"/>
      <c r="E98" s="2"/>
      <c r="F98" s="2"/>
      <c r="G98" s="2"/>
      <c r="H98" s="2"/>
      <c r="I98" s="86" t="s">
        <v>109</v>
      </c>
      <c r="J98" s="84"/>
      <c r="K98" s="84"/>
      <c r="L98" s="85"/>
      <c r="M98" s="1"/>
      <c r="N98" s="1"/>
      <c r="O98" s="1"/>
      <c r="P98" s="1"/>
      <c r="Q98" s="1"/>
      <c r="R98" s="1"/>
      <c r="S98" s="1"/>
      <c r="T98" s="1"/>
      <c r="U98" s="1"/>
      <c r="V98" s="1"/>
      <c r="W98" s="1"/>
      <c r="X98" s="1"/>
      <c r="Y98" s="1"/>
      <c r="Z98" s="1"/>
    </row>
    <row r="99" spans="1:26" ht="24" customHeight="1" x14ac:dyDescent="0.2">
      <c r="A99" s="2" t="s">
        <v>110</v>
      </c>
      <c r="B99" s="2"/>
      <c r="C99" s="2"/>
      <c r="D99" s="2"/>
      <c r="E99" s="2"/>
      <c r="F99" s="2"/>
      <c r="G99" s="2"/>
      <c r="H99" s="2"/>
      <c r="I99" s="87"/>
      <c r="J99" s="76"/>
      <c r="K99" s="76"/>
      <c r="L99" s="1"/>
      <c r="M99" s="1"/>
      <c r="N99" s="1"/>
      <c r="O99" s="1"/>
      <c r="P99" s="1"/>
      <c r="Q99" s="1"/>
      <c r="R99" s="1"/>
      <c r="S99" s="1"/>
      <c r="T99" s="1"/>
      <c r="U99" s="1"/>
      <c r="V99" s="1"/>
      <c r="W99" s="1"/>
      <c r="X99" s="1"/>
      <c r="Y99" s="1"/>
      <c r="Z99" s="1"/>
    </row>
    <row r="100" spans="1:26" ht="15.75" customHeight="1" x14ac:dyDescent="0.2">
      <c r="A100" s="5"/>
      <c r="B100" s="44"/>
      <c r="C100" s="44"/>
      <c r="D100" s="44"/>
      <c r="E100" s="44"/>
      <c r="F100" s="44"/>
      <c r="G100" s="44"/>
      <c r="H100" s="44"/>
      <c r="I100" s="44"/>
      <c r="J100" s="44"/>
      <c r="K100" s="1"/>
      <c r="L100" s="1"/>
      <c r="M100" s="1"/>
      <c r="N100" s="1"/>
      <c r="O100" s="1"/>
      <c r="P100" s="1"/>
      <c r="Q100" s="1"/>
      <c r="R100" s="1"/>
      <c r="S100" s="1"/>
      <c r="T100" s="1"/>
      <c r="U100" s="1"/>
      <c r="V100" s="1"/>
      <c r="W100" s="1"/>
      <c r="X100" s="1"/>
      <c r="Y100" s="1"/>
      <c r="Z100" s="1"/>
    </row>
    <row r="101" spans="1:26" ht="15.75" customHeight="1" x14ac:dyDescent="0.2">
      <c r="A101" s="88"/>
      <c r="B101" s="76"/>
      <c r="C101" s="76"/>
      <c r="D101" s="76"/>
      <c r="E101" s="76"/>
      <c r="F101" s="76"/>
      <c r="G101" s="76"/>
      <c r="H101" s="76"/>
      <c r="I101" s="76"/>
      <c r="J101" s="76"/>
      <c r="K101" s="1"/>
      <c r="L101" s="1"/>
      <c r="M101" s="1"/>
      <c r="N101" s="1"/>
      <c r="O101" s="1"/>
      <c r="P101" s="1"/>
      <c r="Q101" s="1"/>
      <c r="R101" s="1"/>
      <c r="S101" s="1"/>
      <c r="T101" s="1"/>
      <c r="U101" s="1"/>
      <c r="V101" s="1"/>
      <c r="W101" s="1"/>
      <c r="X101" s="1"/>
      <c r="Y101" s="1"/>
      <c r="Z101" s="1"/>
    </row>
    <row r="102" spans="1:26" ht="15.75" customHeight="1" x14ac:dyDescent="0.2">
      <c r="A102" s="7"/>
      <c r="B102" s="20"/>
      <c r="C102" s="2"/>
      <c r="D102" s="2"/>
      <c r="E102" s="2"/>
      <c r="F102" s="2"/>
      <c r="G102" s="2"/>
      <c r="H102" s="2"/>
      <c r="I102" s="2"/>
      <c r="J102" s="2"/>
      <c r="K102" s="1"/>
      <c r="L102" s="1"/>
      <c r="M102" s="1"/>
      <c r="N102" s="1"/>
      <c r="O102" s="1"/>
      <c r="P102" s="1"/>
      <c r="Q102" s="1"/>
      <c r="R102" s="1"/>
      <c r="S102" s="1"/>
      <c r="T102" s="1"/>
      <c r="U102" s="1"/>
      <c r="V102" s="1"/>
      <c r="W102" s="1"/>
      <c r="X102" s="1"/>
      <c r="Y102" s="1"/>
      <c r="Z102" s="1"/>
    </row>
    <row r="103" spans="1:26" ht="31.5" customHeight="1" x14ac:dyDescent="0.2">
      <c r="A103" s="7"/>
      <c r="B103" s="20"/>
      <c r="C103" s="2"/>
      <c r="D103" s="2"/>
      <c r="E103" s="2"/>
      <c r="F103" s="2"/>
      <c r="G103" s="2"/>
      <c r="H103" s="2"/>
      <c r="I103" s="2"/>
      <c r="J103" s="2"/>
      <c r="K103" s="1"/>
      <c r="L103" s="1"/>
      <c r="M103" s="1"/>
      <c r="N103" s="1"/>
      <c r="O103" s="1"/>
      <c r="P103" s="1"/>
      <c r="Q103" s="1"/>
      <c r="R103" s="1"/>
      <c r="S103" s="1"/>
      <c r="T103" s="1"/>
      <c r="U103" s="1"/>
      <c r="V103" s="1"/>
      <c r="W103" s="1"/>
      <c r="X103" s="1"/>
      <c r="Y103" s="1"/>
      <c r="Z103" s="1"/>
    </row>
    <row r="104" spans="1:26" ht="15.75" customHeight="1" x14ac:dyDescent="0.2">
      <c r="A104" s="7"/>
      <c r="B104" s="20"/>
      <c r="C104" s="2"/>
      <c r="D104" s="2"/>
      <c r="E104" s="2"/>
      <c r="F104" s="2"/>
      <c r="G104" s="2"/>
      <c r="H104" s="2"/>
      <c r="I104" s="2"/>
      <c r="J104" s="2"/>
      <c r="K104" s="1"/>
      <c r="L104" s="1"/>
      <c r="M104" s="1"/>
      <c r="N104" s="1"/>
      <c r="O104" s="1"/>
      <c r="P104" s="1"/>
      <c r="Q104" s="1"/>
      <c r="R104" s="1"/>
      <c r="S104" s="1"/>
      <c r="T104" s="1"/>
      <c r="U104" s="1"/>
      <c r="V104" s="1"/>
      <c r="W104" s="1"/>
      <c r="X104" s="1"/>
      <c r="Y104" s="1"/>
      <c r="Z104" s="1"/>
    </row>
    <row r="105" spans="1:26" ht="31.5" customHeight="1" x14ac:dyDescent="0.2">
      <c r="A105" s="7" t="s">
        <v>110</v>
      </c>
      <c r="B105" s="20"/>
      <c r="C105" s="2"/>
      <c r="D105" s="2"/>
      <c r="E105" s="2"/>
      <c r="F105" s="2"/>
      <c r="G105" s="2"/>
      <c r="H105" s="2"/>
      <c r="I105" s="2"/>
      <c r="J105" s="2"/>
      <c r="K105" s="1"/>
      <c r="L105" s="1"/>
      <c r="M105" s="1"/>
      <c r="N105" s="1"/>
      <c r="O105" s="1"/>
      <c r="P105" s="1"/>
      <c r="Q105" s="1"/>
      <c r="R105" s="1"/>
      <c r="S105" s="1"/>
      <c r="T105" s="1"/>
      <c r="U105" s="1"/>
      <c r="V105" s="1"/>
      <c r="W105" s="1"/>
      <c r="X105" s="1"/>
      <c r="Y105" s="1"/>
      <c r="Z105" s="1"/>
    </row>
    <row r="106" spans="1:26" ht="42" customHeight="1" x14ac:dyDescent="0.2">
      <c r="A106" s="2"/>
      <c r="B106" s="2"/>
      <c r="C106" s="2"/>
      <c r="D106" s="2"/>
      <c r="E106" s="2"/>
      <c r="F106" s="2"/>
      <c r="G106" s="2"/>
      <c r="H106" s="2"/>
      <c r="I106" s="2"/>
      <c r="J106" s="2"/>
      <c r="K106" s="1"/>
      <c r="L106" s="1"/>
      <c r="M106" s="1"/>
      <c r="N106" s="1"/>
      <c r="O106" s="1"/>
      <c r="P106" s="1"/>
      <c r="Q106" s="1"/>
      <c r="R106" s="1"/>
      <c r="S106" s="1"/>
      <c r="T106" s="1"/>
      <c r="U106" s="1"/>
      <c r="V106" s="1"/>
      <c r="W106" s="1"/>
      <c r="X106" s="1"/>
      <c r="Y106" s="1"/>
      <c r="Z106" s="1"/>
    </row>
    <row r="107" spans="1:26" ht="15.75" customHeight="1" x14ac:dyDescent="0.2">
      <c r="A107" s="2"/>
      <c r="B107" s="2"/>
      <c r="C107" s="2"/>
      <c r="D107" s="2"/>
      <c r="E107" s="2"/>
      <c r="F107" s="2"/>
      <c r="G107" s="2"/>
      <c r="H107" s="2"/>
      <c r="I107" s="2"/>
      <c r="J107" s="2"/>
      <c r="K107" s="1"/>
      <c r="L107" s="1"/>
      <c r="M107" s="1"/>
      <c r="N107" s="1"/>
      <c r="O107" s="1"/>
      <c r="P107" s="1"/>
      <c r="Q107" s="1"/>
      <c r="R107" s="1"/>
      <c r="S107" s="1"/>
      <c r="T107" s="1"/>
      <c r="U107" s="1"/>
      <c r="V107" s="1"/>
      <c r="W107" s="1"/>
      <c r="X107" s="1"/>
      <c r="Y107" s="1"/>
      <c r="Z107" s="1"/>
    </row>
    <row r="108" spans="1:26" ht="15.75" customHeight="1" x14ac:dyDescent="0.2">
      <c r="A108" s="45" t="s">
        <v>111</v>
      </c>
      <c r="B108" s="44"/>
      <c r="C108" s="44"/>
      <c r="D108" s="44"/>
      <c r="E108" s="44"/>
      <c r="F108" s="44"/>
      <c r="G108" s="44"/>
      <c r="H108" s="44"/>
      <c r="I108" s="44"/>
      <c r="J108" s="44"/>
      <c r="K108" s="1"/>
      <c r="L108" s="1"/>
      <c r="M108" s="1"/>
      <c r="N108" s="1"/>
      <c r="O108" s="1"/>
      <c r="P108" s="1"/>
      <c r="Q108" s="1"/>
      <c r="R108" s="1"/>
      <c r="S108" s="1"/>
      <c r="T108" s="1"/>
      <c r="U108" s="1"/>
      <c r="V108" s="1"/>
      <c r="W108" s="1"/>
      <c r="X108" s="1"/>
      <c r="Y108" s="1"/>
      <c r="Z108" s="1"/>
    </row>
    <row r="109" spans="1:26" ht="15.75" customHeight="1" x14ac:dyDescent="0.2">
      <c r="A109" s="89"/>
      <c r="B109" s="76"/>
      <c r="C109" s="76"/>
      <c r="D109" s="76"/>
      <c r="E109" s="76"/>
      <c r="F109" s="76"/>
      <c r="G109" s="76"/>
      <c r="H109" s="76"/>
      <c r="I109" s="76"/>
      <c r="J109" s="76"/>
      <c r="K109" s="1"/>
      <c r="L109" s="1"/>
      <c r="M109" s="1"/>
      <c r="N109" s="1"/>
      <c r="O109" s="1"/>
      <c r="P109" s="1"/>
      <c r="Q109" s="1"/>
      <c r="R109" s="1"/>
      <c r="S109" s="1"/>
      <c r="T109" s="1"/>
      <c r="U109" s="1"/>
      <c r="V109" s="1"/>
      <c r="W109" s="1"/>
      <c r="X109" s="1"/>
      <c r="Y109" s="1"/>
      <c r="Z109" s="1"/>
    </row>
    <row r="110" spans="1:26" ht="15.75" customHeight="1" x14ac:dyDescent="0.2">
      <c r="A110" s="76"/>
      <c r="B110" s="76"/>
      <c r="C110" s="76"/>
      <c r="D110" s="76"/>
      <c r="E110" s="76"/>
      <c r="F110" s="76"/>
      <c r="G110" s="76"/>
      <c r="H110" s="76"/>
      <c r="I110" s="76"/>
      <c r="J110" s="76"/>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I98:L98"/>
    <mergeCell ref="I99:K99"/>
    <mergeCell ref="A101:J101"/>
    <mergeCell ref="A109:J110"/>
    <mergeCell ref="A30:J30"/>
    <mergeCell ref="A40:J40"/>
    <mergeCell ref="A41:J42"/>
    <mergeCell ref="B53:C53"/>
    <mergeCell ref="B54:C54"/>
    <mergeCell ref="A59:J59"/>
    <mergeCell ref="A60:J63"/>
    <mergeCell ref="A17:F17"/>
    <mergeCell ref="A24:J24"/>
    <mergeCell ref="B55:C55"/>
    <mergeCell ref="B69:E69"/>
    <mergeCell ref="I90:L90"/>
    <mergeCell ref="A1:J1"/>
    <mergeCell ref="A2:J2"/>
    <mergeCell ref="A4:J4"/>
    <mergeCell ref="A11:J11"/>
    <mergeCell ref="A12:J15"/>
  </mergeCells>
  <conditionalFormatting sqref="G47:G48">
    <cfRule type="containsText" dxfId="56" priority="1" operator="containsText" text="PASS">
      <formula>NOT(ISERROR(SEARCH(("PASS"),(G47))))</formula>
    </cfRule>
    <cfRule type="containsText" dxfId="55" priority="2" operator="containsText" text="FAIL">
      <formula>NOT(ISERROR(SEARCH(("FAIL"),(G47))))</formula>
    </cfRule>
    <cfRule type="containsText" dxfId="54" priority="3" operator="containsText" text="OK">
      <formula>NOT(ISERROR(SEARCH(("OK"),(G47))))</formula>
    </cfRule>
    <cfRule type="containsText" dxfId="53" priority="4" operator="containsText" text="PENALTY">
      <formula>NOT(ISERROR(SEARCH(("PENALTY"),(G47))))</formula>
    </cfRule>
    <cfRule type="containsText" dxfId="52" priority="5" operator="containsText" text="YES">
      <formula>NOT(ISERROR(SEARCH(("YES"),(G47))))</formula>
    </cfRule>
    <cfRule type="containsText" dxfId="51" priority="6" operator="containsText" text="NO">
      <formula>NOT(ISERROR(SEARCH(("NO"),(G47))))</formula>
    </cfRule>
  </conditionalFormatting>
  <conditionalFormatting sqref="I98:L98">
    <cfRule type="expression" dxfId="50" priority="7">
      <formula>AND($I$98&lt;&gt;"",NOT(ISNUMBER(SEARCH("NOT ELIGIBLE",$I$98))))</formula>
    </cfRule>
    <cfRule type="expression" dxfId="49" priority="8">
      <formula>ISNUMBER(SEARCH("NOT ELIGIBLE",$I$98))</formula>
    </cfRule>
  </conditionalFormatting>
  <conditionalFormatting sqref="J75:J76">
    <cfRule type="containsText" dxfId="48" priority="13" operator="containsText" text="YES">
      <formula>NOT(ISERROR(SEARCH(("YES"),(J75))))</formula>
    </cfRule>
    <cfRule type="containsText" dxfId="47" priority="10" operator="containsText" text="FAIL">
      <formula>NOT(ISERROR(SEARCH(("FAIL"),(J75))))</formula>
    </cfRule>
    <cfRule type="containsText" dxfId="46" priority="11" operator="containsText" text="OK">
      <formula>NOT(ISERROR(SEARCH(("OK"),(J75))))</formula>
    </cfRule>
    <cfRule type="containsText" dxfId="45" priority="12" operator="containsText" text="PENALTY">
      <formula>NOT(ISERROR(SEARCH(("PENALTY"),(J75))))</formula>
    </cfRule>
    <cfRule type="containsText" dxfId="44" priority="9" operator="containsText" text="PASS">
      <formula>NOT(ISERROR(SEARCH(("PASS"),(J75))))</formula>
    </cfRule>
    <cfRule type="containsText" dxfId="43" priority="14" operator="containsText" text="NO">
      <formula>NOT(ISERROR(SEARCH(("NO"),(J75))))</formula>
    </cfRule>
  </conditionalFormatting>
  <conditionalFormatting sqref="J88:J91">
    <cfRule type="containsText" dxfId="42" priority="15" operator="containsText" text="PASS">
      <formula>NOT(ISERROR(SEARCH(("PASS"),(J88))))</formula>
    </cfRule>
    <cfRule type="containsText" dxfId="41" priority="16" operator="containsText" text="FAIL">
      <formula>NOT(ISERROR(SEARCH(("FAIL"),(J88))))</formula>
    </cfRule>
    <cfRule type="containsText" dxfId="40" priority="17" operator="containsText" text="OK">
      <formula>NOT(ISERROR(SEARCH(("OK"),(J88))))</formula>
    </cfRule>
    <cfRule type="containsText" dxfId="39" priority="18" operator="containsText" text="PENALTY">
      <formula>NOT(ISERROR(SEARCH(("PENALTY"),(J88))))</formula>
    </cfRule>
    <cfRule type="containsText" dxfId="38" priority="19" operator="containsText" text="YES">
      <formula>NOT(ISERROR(SEARCH(("YES"),(J88))))</formula>
    </cfRule>
    <cfRule type="containsText" dxfId="37" priority="20" operator="containsText" text="NO">
      <formula>NOT(ISERROR(SEARCH(("NO"),(J88))))</formula>
    </cfRule>
  </conditionalFormatting>
  <conditionalFormatting sqref="J92">
    <cfRule type="cellIs" dxfId="36" priority="21" operator="equal">
      <formula>"PASS"</formula>
    </cfRule>
    <cfRule type="cellIs" dxfId="35" priority="22" operator="equal">
      <formula>"MISMATCH"</formula>
    </cfRule>
  </conditionalFormatting>
  <conditionalFormatting sqref="L92:L97">
    <cfRule type="expression" dxfId="34" priority="23">
      <formula>L92="PASS"</formula>
    </cfRule>
    <cfRule type="expression" dxfId="33" priority="24">
      <formula>L92="FAIL"</formula>
    </cfRule>
  </conditionalFormatting>
  <dataValidations count="5">
    <dataValidation type="decimal" allowBlank="1" sqref="B45:B48 B73:B76" xr:uid="{00000000-0002-0000-0000-000000000000}">
      <formula1>0</formula1>
      <formula2>20</formula2>
    </dataValidation>
    <dataValidation type="list" allowBlank="1" sqref="B103" xr:uid="{00000000-0002-0000-0000-000001000000}">
      <formula1>"Architecture Lead,Robot Engineer,Cost Manager"</formula1>
    </dataValidation>
    <dataValidation type="list" allowBlank="1" sqref="B104" xr:uid="{00000000-0002-0000-0000-000002000000}">
      <formula1>"Cost vs Productivity,Cost vs Safety,Cost vs Manual Effort Reduction,Productivity vs Safety,Productivity vs Manual Effort Reduction,Safety vs Manual Effort Reduction"</formula1>
    </dataValidation>
    <dataValidation type="list" allowBlank="1" sqref="B105" xr:uid="{00000000-0002-0000-0000-000003000000}">
      <formula1>"More Robots,Fewer Robots,Improved Productivity,Improved Safety,Improved Manual Effort Reduction,Lower Cost,No Major Change"</formula1>
    </dataValidation>
    <dataValidation type="list" allowBlank="1" sqref="B69" xr:uid="{00000000-0002-0000-0000-000004000000}">
      <formula1>"Human-Led,Collaborative,Robot-Led"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5" defaultRowHeight="15" x14ac:dyDescent="0.2"/>
  <cols>
    <col min="1" max="1" width="28" customWidth="1"/>
    <col min="2" max="3" width="18" customWidth="1"/>
    <col min="4" max="4" width="52" customWidth="1"/>
    <col min="5" max="5" width="20" customWidth="1"/>
    <col min="6" max="6" width="34" customWidth="1"/>
    <col min="7" max="7" width="13" customWidth="1"/>
    <col min="8" max="8" width="40" customWidth="1"/>
    <col min="9" max="9" width="11" customWidth="1"/>
    <col min="10" max="10" width="32" customWidth="1"/>
    <col min="11" max="26" width="12.5" customWidth="1"/>
  </cols>
  <sheetData>
    <row r="1" spans="1:26" ht="18.75" customHeight="1" x14ac:dyDescent="0.25">
      <c r="A1" s="91" t="s">
        <v>112</v>
      </c>
      <c r="B1" s="76"/>
      <c r="C1" s="76"/>
      <c r="D1" s="76"/>
      <c r="E1" s="76"/>
      <c r="F1" s="76"/>
      <c r="G1" s="76"/>
      <c r="H1" s="76"/>
      <c r="I1" s="76"/>
      <c r="J1" s="76"/>
      <c r="K1" s="1"/>
      <c r="L1" s="1"/>
      <c r="M1" s="1"/>
      <c r="N1" s="1"/>
      <c r="O1" s="1"/>
      <c r="P1" s="1"/>
      <c r="Q1" s="1"/>
      <c r="R1" s="1"/>
      <c r="S1" s="1"/>
      <c r="T1" s="1"/>
      <c r="U1" s="1"/>
      <c r="V1" s="1"/>
      <c r="W1" s="1"/>
      <c r="X1" s="1"/>
      <c r="Y1" s="1"/>
      <c r="Z1" s="1"/>
    </row>
    <row r="2" spans="1:26" ht="15" customHeight="1" x14ac:dyDescent="0.2">
      <c r="A2" s="2"/>
      <c r="B2" s="2"/>
      <c r="C2" s="2"/>
      <c r="D2" s="2"/>
      <c r="E2" s="2"/>
      <c r="F2" s="2"/>
      <c r="G2" s="2"/>
      <c r="H2" s="2"/>
      <c r="I2" s="2"/>
      <c r="J2" s="2"/>
      <c r="K2" s="1"/>
      <c r="L2" s="1"/>
      <c r="M2" s="1"/>
      <c r="N2" s="1"/>
      <c r="O2" s="1"/>
      <c r="P2" s="1"/>
      <c r="Q2" s="1"/>
      <c r="R2" s="1"/>
      <c r="S2" s="1"/>
      <c r="T2" s="1"/>
      <c r="U2" s="1"/>
      <c r="V2" s="1"/>
      <c r="W2" s="1"/>
      <c r="X2" s="1"/>
      <c r="Y2" s="1"/>
      <c r="Z2" s="1"/>
    </row>
    <row r="3" spans="1:26" ht="15.75" customHeight="1" x14ac:dyDescent="0.2">
      <c r="A3" s="6" t="s">
        <v>113</v>
      </c>
      <c r="B3" s="6" t="s">
        <v>32</v>
      </c>
      <c r="C3" s="6" t="s">
        <v>114</v>
      </c>
      <c r="D3" s="6" t="s">
        <v>115</v>
      </c>
      <c r="E3" s="2"/>
      <c r="F3" s="6" t="s">
        <v>205</v>
      </c>
      <c r="G3" s="6" t="s">
        <v>206</v>
      </c>
      <c r="H3" s="6" t="s">
        <v>207</v>
      </c>
      <c r="I3" s="2"/>
      <c r="J3" s="2"/>
      <c r="K3" s="1"/>
      <c r="L3" s="1"/>
      <c r="M3" s="1"/>
      <c r="N3" s="1"/>
      <c r="O3" s="1"/>
      <c r="P3" s="1"/>
      <c r="Q3" s="1"/>
      <c r="R3" s="1"/>
      <c r="S3" s="1"/>
      <c r="T3" s="1"/>
      <c r="U3" s="1"/>
      <c r="V3" s="1"/>
      <c r="W3" s="1"/>
      <c r="X3" s="1"/>
      <c r="Y3" s="1"/>
      <c r="Z3" s="1"/>
    </row>
    <row r="4" spans="1:26" ht="79.5" customHeight="1" x14ac:dyDescent="0.2">
      <c r="A4" s="7" t="s">
        <v>35</v>
      </c>
      <c r="B4" s="20">
        <v>10</v>
      </c>
      <c r="C4" s="20">
        <v>1</v>
      </c>
      <c r="D4" s="7" t="s">
        <v>116</v>
      </c>
      <c r="E4" s="2"/>
      <c r="F4" s="7" t="s">
        <v>208</v>
      </c>
      <c r="G4" s="20">
        <v>0.5</v>
      </c>
      <c r="H4" s="7" t="s">
        <v>209</v>
      </c>
      <c r="I4" s="2"/>
      <c r="J4" s="2"/>
      <c r="K4" s="1"/>
      <c r="L4" s="1"/>
      <c r="M4" s="1"/>
      <c r="N4" s="1"/>
      <c r="O4" s="1"/>
      <c r="P4" s="1"/>
      <c r="Q4" s="1"/>
      <c r="R4" s="1"/>
      <c r="S4" s="1"/>
      <c r="T4" s="1"/>
      <c r="U4" s="1"/>
      <c r="V4" s="1"/>
      <c r="W4" s="1"/>
      <c r="X4" s="1"/>
      <c r="Y4" s="1"/>
      <c r="Z4" s="1"/>
    </row>
    <row r="5" spans="1:26" ht="48" customHeight="1" x14ac:dyDescent="0.2">
      <c r="A5" s="7" t="s">
        <v>37</v>
      </c>
      <c r="B5" s="20">
        <v>10</v>
      </c>
      <c r="C5" s="20">
        <v>0</v>
      </c>
      <c r="D5" s="7" t="s">
        <v>117</v>
      </c>
      <c r="E5" s="2"/>
      <c r="F5" s="7" t="s">
        <v>210</v>
      </c>
      <c r="G5" s="20">
        <v>1</v>
      </c>
      <c r="H5" s="7" t="s">
        <v>211</v>
      </c>
      <c r="I5" s="2"/>
      <c r="J5" s="2"/>
      <c r="K5" s="1"/>
      <c r="L5" s="1"/>
      <c r="M5" s="1"/>
      <c r="N5" s="1"/>
      <c r="O5" s="1"/>
      <c r="P5" s="1"/>
      <c r="Q5" s="1"/>
      <c r="R5" s="1"/>
      <c r="S5" s="1"/>
      <c r="T5" s="1"/>
      <c r="U5" s="1"/>
      <c r="V5" s="1"/>
      <c r="W5" s="1"/>
      <c r="X5" s="1"/>
      <c r="Y5" s="1"/>
      <c r="Z5" s="1"/>
    </row>
    <row r="6" spans="1:26" ht="31.5" customHeight="1" x14ac:dyDescent="0.2">
      <c r="A6" s="7" t="s">
        <v>41</v>
      </c>
      <c r="B6" s="20">
        <v>20</v>
      </c>
      <c r="C6" s="20">
        <v>3</v>
      </c>
      <c r="D6" s="7" t="s">
        <v>118</v>
      </c>
      <c r="E6" s="2"/>
      <c r="F6" s="7" t="s">
        <v>212</v>
      </c>
      <c r="G6" s="20">
        <v>3</v>
      </c>
      <c r="H6" s="7" t="s">
        <v>213</v>
      </c>
      <c r="I6" s="2"/>
      <c r="J6" s="2"/>
      <c r="K6" s="1"/>
      <c r="L6" s="1"/>
      <c r="M6" s="1"/>
      <c r="N6" s="1"/>
      <c r="O6" s="1"/>
      <c r="P6" s="1"/>
      <c r="Q6" s="1"/>
      <c r="R6" s="1"/>
      <c r="S6" s="1"/>
      <c r="T6" s="1"/>
      <c r="U6" s="1"/>
      <c r="V6" s="1"/>
      <c r="W6" s="1"/>
      <c r="X6" s="1"/>
      <c r="Y6" s="1"/>
      <c r="Z6" s="1"/>
    </row>
    <row r="7" spans="1:26" ht="15.75" customHeight="1" x14ac:dyDescent="0.2">
      <c r="A7" s="7" t="s">
        <v>42</v>
      </c>
      <c r="B7" s="20">
        <v>35</v>
      </c>
      <c r="C7" s="20">
        <v>5</v>
      </c>
      <c r="D7" s="7" t="s">
        <v>118</v>
      </c>
      <c r="E7" s="2"/>
      <c r="F7" s="7"/>
      <c r="G7" s="20"/>
      <c r="H7" s="7"/>
      <c r="I7" s="2"/>
      <c r="J7" s="2"/>
      <c r="K7" s="1"/>
      <c r="L7" s="1"/>
      <c r="M7" s="1"/>
      <c r="N7" s="1"/>
      <c r="O7" s="1"/>
      <c r="P7" s="1"/>
      <c r="Q7" s="1"/>
      <c r="R7" s="1"/>
      <c r="S7" s="1"/>
      <c r="T7" s="1"/>
      <c r="U7" s="1"/>
      <c r="V7" s="1"/>
      <c r="W7" s="1"/>
      <c r="X7" s="1"/>
      <c r="Y7" s="1"/>
      <c r="Z7" s="1"/>
    </row>
    <row r="8" spans="1:26" ht="15.75" customHeight="1" x14ac:dyDescent="0.2">
      <c r="A8" s="7" t="s">
        <v>43</v>
      </c>
      <c r="B8" s="20">
        <v>60</v>
      </c>
      <c r="C8" s="20">
        <v>8</v>
      </c>
      <c r="D8" s="7" t="s">
        <v>119</v>
      </c>
      <c r="E8" s="2"/>
      <c r="F8" s="2"/>
      <c r="G8" s="2"/>
      <c r="H8" s="2"/>
      <c r="I8" s="2"/>
      <c r="J8" s="2"/>
      <c r="K8" s="1"/>
      <c r="L8" s="1"/>
      <c r="M8" s="1"/>
      <c r="N8" s="1"/>
      <c r="O8" s="1"/>
      <c r="P8" s="1"/>
      <c r="Q8" s="1"/>
      <c r="R8" s="1"/>
      <c r="S8" s="1"/>
      <c r="T8" s="1"/>
      <c r="U8" s="1"/>
      <c r="V8" s="1"/>
      <c r="W8" s="1"/>
      <c r="X8" s="1"/>
      <c r="Y8" s="1"/>
      <c r="Z8" s="1"/>
    </row>
    <row r="9" spans="1:26" ht="15" customHeight="1" x14ac:dyDescent="0.2">
      <c r="A9" s="2"/>
      <c r="B9" s="2"/>
      <c r="C9" s="2"/>
      <c r="D9" s="2"/>
      <c r="E9" s="2"/>
      <c r="F9" s="2"/>
      <c r="G9" s="2"/>
      <c r="H9" s="2"/>
      <c r="I9" s="2"/>
      <c r="J9" s="2"/>
      <c r="K9" s="1"/>
      <c r="L9" s="1"/>
      <c r="M9" s="1"/>
      <c r="N9" s="1"/>
      <c r="O9" s="1"/>
      <c r="P9" s="1"/>
      <c r="Q9" s="1"/>
      <c r="R9" s="1"/>
      <c r="S9" s="1"/>
      <c r="T9" s="1"/>
      <c r="U9" s="1"/>
      <c r="V9" s="1"/>
      <c r="W9" s="1"/>
      <c r="X9" s="1"/>
      <c r="Y9" s="1"/>
      <c r="Z9" s="1"/>
    </row>
    <row r="10" spans="1:26" ht="15" customHeight="1" x14ac:dyDescent="0.2">
      <c r="A10" s="2"/>
      <c r="B10" s="2"/>
      <c r="C10" s="2"/>
      <c r="D10" s="2"/>
      <c r="E10" s="2"/>
      <c r="F10" s="2"/>
      <c r="G10" s="2"/>
      <c r="H10" s="2"/>
      <c r="I10" s="2"/>
      <c r="J10" s="2"/>
      <c r="K10" s="1"/>
      <c r="L10" s="1"/>
      <c r="M10" s="1"/>
      <c r="N10" s="1"/>
      <c r="O10" s="1"/>
      <c r="P10" s="1"/>
      <c r="Q10" s="1"/>
      <c r="R10" s="1"/>
      <c r="S10" s="1"/>
      <c r="T10" s="1"/>
      <c r="U10" s="1"/>
      <c r="V10" s="1"/>
      <c r="W10" s="1"/>
      <c r="X10" s="1"/>
      <c r="Y10" s="1"/>
      <c r="Z10" s="1"/>
    </row>
    <row r="11" spans="1:26" ht="37.5" customHeight="1" x14ac:dyDescent="0.2">
      <c r="A11" s="21" t="s">
        <v>120</v>
      </c>
      <c r="B11" s="21"/>
      <c r="C11" s="21"/>
      <c r="D11" s="21"/>
      <c r="E11" s="21"/>
      <c r="F11" s="6" t="s">
        <v>121</v>
      </c>
      <c r="G11" s="6" t="s">
        <v>122</v>
      </c>
      <c r="H11" s="6" t="s">
        <v>123</v>
      </c>
      <c r="I11" s="6" t="s">
        <v>124</v>
      </c>
      <c r="J11" s="6" t="s">
        <v>125</v>
      </c>
      <c r="K11" s="1"/>
      <c r="L11" s="1"/>
      <c r="M11" s="1"/>
      <c r="N11" s="1"/>
      <c r="O11" s="1"/>
      <c r="P11" s="1"/>
      <c r="Q11" s="1"/>
      <c r="R11" s="1"/>
      <c r="S11" s="1"/>
      <c r="T11" s="1"/>
      <c r="U11" s="1"/>
      <c r="V11" s="1"/>
      <c r="W11" s="1"/>
      <c r="X11" s="1"/>
      <c r="Y11" s="1"/>
      <c r="Z11" s="1"/>
    </row>
    <row r="12" spans="1:26" ht="15.75" customHeight="1" x14ac:dyDescent="0.2">
      <c r="A12" s="46" t="s">
        <v>126</v>
      </c>
      <c r="B12" s="46" t="s">
        <v>72</v>
      </c>
      <c r="C12" s="46" t="s">
        <v>71</v>
      </c>
      <c r="D12" s="46" t="s">
        <v>70</v>
      </c>
      <c r="E12" s="46" t="s">
        <v>127</v>
      </c>
      <c r="F12" s="7" t="s">
        <v>41</v>
      </c>
      <c r="G12" s="20">
        <v>20</v>
      </c>
      <c r="H12" s="20">
        <v>5</v>
      </c>
      <c r="I12" s="20">
        <v>5</v>
      </c>
      <c r="J12" s="20">
        <v>8</v>
      </c>
      <c r="K12" s="1"/>
      <c r="L12" s="1"/>
      <c r="M12" s="1"/>
      <c r="N12" s="1"/>
      <c r="O12" s="1"/>
      <c r="P12" s="1"/>
      <c r="Q12" s="1"/>
      <c r="R12" s="1"/>
      <c r="S12" s="1"/>
      <c r="T12" s="1"/>
      <c r="U12" s="1"/>
      <c r="V12" s="1"/>
      <c r="W12" s="1"/>
      <c r="X12" s="1"/>
      <c r="Y12" s="1"/>
      <c r="Z12" s="1"/>
    </row>
    <row r="13" spans="1:26" ht="15.75" customHeight="1" x14ac:dyDescent="0.2">
      <c r="A13" s="47" t="s">
        <v>75</v>
      </c>
      <c r="B13" s="48">
        <v>0.4</v>
      </c>
      <c r="C13" s="48">
        <v>0.3</v>
      </c>
      <c r="D13" s="48">
        <v>0.3</v>
      </c>
      <c r="E13" s="47" t="s">
        <v>128</v>
      </c>
      <c r="F13" s="7" t="s">
        <v>42</v>
      </c>
      <c r="G13" s="20">
        <v>35</v>
      </c>
      <c r="H13" s="20">
        <v>10</v>
      </c>
      <c r="I13" s="20">
        <v>10</v>
      </c>
      <c r="J13" s="20">
        <v>12</v>
      </c>
      <c r="K13" s="1"/>
      <c r="L13" s="1"/>
      <c r="M13" s="1"/>
      <c r="N13" s="1"/>
      <c r="O13" s="1"/>
      <c r="P13" s="1"/>
      <c r="Q13" s="1"/>
      <c r="R13" s="1"/>
      <c r="S13" s="1"/>
      <c r="T13" s="1"/>
      <c r="U13" s="1"/>
      <c r="V13" s="1"/>
      <c r="W13" s="1"/>
      <c r="X13" s="1"/>
      <c r="Y13" s="1"/>
      <c r="Z13" s="1"/>
    </row>
    <row r="14" spans="1:26" ht="15.75" customHeight="1" x14ac:dyDescent="0.2">
      <c r="A14" s="47" t="s">
        <v>78</v>
      </c>
      <c r="B14" s="48">
        <v>0.3</v>
      </c>
      <c r="C14" s="48">
        <v>0.4</v>
      </c>
      <c r="D14" s="48">
        <v>0.3</v>
      </c>
      <c r="E14" s="47" t="s">
        <v>129</v>
      </c>
      <c r="F14" s="7" t="s">
        <v>43</v>
      </c>
      <c r="G14" s="20">
        <v>60</v>
      </c>
      <c r="H14" s="20">
        <v>18</v>
      </c>
      <c r="I14" s="20">
        <v>8</v>
      </c>
      <c r="J14" s="20">
        <v>18</v>
      </c>
      <c r="K14" s="1"/>
      <c r="L14" s="1"/>
      <c r="M14" s="1"/>
      <c r="N14" s="1"/>
      <c r="O14" s="1"/>
      <c r="P14" s="1"/>
      <c r="Q14" s="1"/>
      <c r="R14" s="1"/>
      <c r="S14" s="1"/>
      <c r="T14" s="1"/>
      <c r="U14" s="1"/>
      <c r="V14" s="1"/>
      <c r="W14" s="1"/>
      <c r="X14" s="1"/>
      <c r="Y14" s="1"/>
      <c r="Z14" s="1"/>
    </row>
    <row r="15" spans="1:26" ht="45.75" customHeight="1" x14ac:dyDescent="0.2">
      <c r="A15" s="49" t="s">
        <v>79</v>
      </c>
      <c r="B15" s="50">
        <v>0.3</v>
      </c>
      <c r="C15" s="50">
        <v>0.3</v>
      </c>
      <c r="D15" s="50">
        <v>0.4</v>
      </c>
      <c r="E15" s="49" t="s">
        <v>130</v>
      </c>
      <c r="F15" s="2"/>
      <c r="G15" s="3"/>
      <c r="H15" s="3"/>
      <c r="I15" s="3"/>
      <c r="J15" s="3"/>
      <c r="K15" s="1"/>
      <c r="L15" s="1"/>
      <c r="M15" s="1"/>
      <c r="N15" s="1"/>
      <c r="O15" s="1"/>
      <c r="P15" s="1"/>
      <c r="Q15" s="1"/>
      <c r="R15" s="1"/>
      <c r="S15" s="1"/>
      <c r="T15" s="1"/>
      <c r="U15" s="1"/>
      <c r="V15" s="1"/>
      <c r="W15" s="1"/>
      <c r="X15" s="1"/>
      <c r="Y15" s="1"/>
      <c r="Z15" s="1"/>
    </row>
    <row r="16" spans="1:26" ht="15" customHeight="1" x14ac:dyDescent="0.2">
      <c r="A16" s="2"/>
      <c r="B16" s="2"/>
      <c r="C16" s="2"/>
      <c r="D16" s="2"/>
      <c r="E16" s="2"/>
      <c r="F16" s="2"/>
      <c r="G16" s="2"/>
      <c r="H16" s="2"/>
      <c r="I16" s="2"/>
      <c r="J16" s="2"/>
      <c r="K16" s="1"/>
      <c r="L16" s="1"/>
      <c r="M16" s="1"/>
      <c r="N16" s="1"/>
      <c r="O16" s="1"/>
      <c r="P16" s="1"/>
      <c r="Q16" s="1"/>
      <c r="R16" s="1"/>
      <c r="S16" s="1"/>
      <c r="T16" s="1"/>
      <c r="U16" s="1"/>
      <c r="V16" s="1"/>
      <c r="W16" s="1"/>
      <c r="X16" s="1"/>
      <c r="Y16" s="1"/>
      <c r="Z16" s="1"/>
    </row>
    <row r="17" spans="1:26" ht="27.75" customHeight="1" x14ac:dyDescent="0.2">
      <c r="A17" s="6" t="s">
        <v>131</v>
      </c>
      <c r="B17" s="6" t="s">
        <v>11</v>
      </c>
      <c r="C17" s="2"/>
      <c r="D17" s="2"/>
      <c r="E17" s="2"/>
      <c r="F17" s="6" t="s">
        <v>132</v>
      </c>
      <c r="G17" s="6" t="s">
        <v>11</v>
      </c>
      <c r="H17" s="6" t="s">
        <v>133</v>
      </c>
      <c r="I17" s="6" t="s">
        <v>134</v>
      </c>
      <c r="J17" s="6" t="s">
        <v>135</v>
      </c>
      <c r="K17" s="1"/>
      <c r="L17" s="1"/>
      <c r="M17" s="1"/>
      <c r="N17" s="1"/>
      <c r="O17" s="1"/>
      <c r="P17" s="1"/>
      <c r="Q17" s="1"/>
      <c r="R17" s="1"/>
      <c r="S17" s="1"/>
      <c r="T17" s="1"/>
      <c r="U17" s="1"/>
      <c r="V17" s="1"/>
      <c r="W17" s="1"/>
      <c r="X17" s="1"/>
      <c r="Y17" s="1"/>
      <c r="Z17" s="1"/>
    </row>
    <row r="18" spans="1:26" ht="33.75" customHeight="1" x14ac:dyDescent="0.2">
      <c r="A18" s="7" t="s">
        <v>136</v>
      </c>
      <c r="B18" s="20">
        <v>5</v>
      </c>
      <c r="C18" s="2"/>
      <c r="D18" s="2"/>
      <c r="E18" s="2"/>
      <c r="F18" s="7" t="s">
        <v>18</v>
      </c>
      <c r="G18" s="20">
        <v>200</v>
      </c>
      <c r="H18" s="7" t="s">
        <v>75</v>
      </c>
      <c r="I18" s="20">
        <v>0.3</v>
      </c>
      <c r="J18" s="7" t="s">
        <v>137</v>
      </c>
      <c r="K18" s="1"/>
      <c r="L18" s="1"/>
      <c r="M18" s="1"/>
      <c r="N18" s="1"/>
      <c r="O18" s="1"/>
      <c r="P18" s="1"/>
      <c r="Q18" s="1"/>
      <c r="R18" s="1"/>
      <c r="S18" s="1"/>
      <c r="T18" s="1"/>
      <c r="U18" s="1"/>
      <c r="V18" s="1"/>
      <c r="W18" s="1"/>
      <c r="X18" s="1"/>
      <c r="Y18" s="1"/>
      <c r="Z18" s="1"/>
    </row>
    <row r="19" spans="1:26" ht="33.75" customHeight="1" x14ac:dyDescent="0.2">
      <c r="A19" s="7" t="s">
        <v>138</v>
      </c>
      <c r="B19" s="20">
        <v>100</v>
      </c>
      <c r="C19" s="2"/>
      <c r="D19" s="2"/>
      <c r="E19" s="2"/>
      <c r="F19" s="7" t="s">
        <v>139</v>
      </c>
      <c r="G19" s="51">
        <v>70</v>
      </c>
      <c r="H19" s="7" t="s">
        <v>78</v>
      </c>
      <c r="I19" s="20">
        <v>0.4</v>
      </c>
      <c r="J19" s="7" t="s">
        <v>140</v>
      </c>
      <c r="K19" s="1"/>
      <c r="L19" s="1"/>
      <c r="M19" s="1"/>
      <c r="N19" s="1"/>
      <c r="O19" s="1"/>
      <c r="P19" s="1"/>
      <c r="Q19" s="1"/>
      <c r="R19" s="1"/>
      <c r="S19" s="1"/>
      <c r="T19" s="1"/>
      <c r="U19" s="1"/>
      <c r="V19" s="1"/>
      <c r="W19" s="1"/>
      <c r="X19" s="1"/>
      <c r="Y19" s="1"/>
      <c r="Z19" s="1"/>
    </row>
    <row r="20" spans="1:26" ht="33.75" customHeight="1" x14ac:dyDescent="0.2">
      <c r="A20" s="7" t="s">
        <v>141</v>
      </c>
      <c r="B20" s="20">
        <v>20</v>
      </c>
      <c r="C20" s="2"/>
      <c r="D20" s="2"/>
      <c r="E20" s="2"/>
      <c r="F20" s="2" t="s">
        <v>142</v>
      </c>
      <c r="G20" s="2">
        <v>70</v>
      </c>
      <c r="H20" s="7" t="s">
        <v>89</v>
      </c>
      <c r="I20" s="20">
        <v>0.3</v>
      </c>
      <c r="J20" s="7" t="s">
        <v>143</v>
      </c>
      <c r="K20" s="1"/>
      <c r="L20" s="1"/>
      <c r="M20" s="1"/>
      <c r="N20" s="1"/>
      <c r="O20" s="1"/>
      <c r="P20" s="1"/>
      <c r="Q20" s="1"/>
      <c r="R20" s="1"/>
      <c r="S20" s="1"/>
      <c r="T20" s="1"/>
      <c r="U20" s="1"/>
      <c r="V20" s="1"/>
      <c r="W20" s="1"/>
      <c r="X20" s="1"/>
      <c r="Y20" s="1"/>
      <c r="Z20" s="1"/>
    </row>
    <row r="21" spans="1:26" ht="15.75" customHeight="1" x14ac:dyDescent="0.2">
      <c r="A21" s="7" t="s">
        <v>144</v>
      </c>
      <c r="B21" s="20">
        <v>200</v>
      </c>
      <c r="C21" s="2"/>
      <c r="D21" s="2"/>
      <c r="E21" s="2"/>
      <c r="F21" s="2" t="s">
        <v>145</v>
      </c>
      <c r="G21" s="2">
        <v>70</v>
      </c>
      <c r="H21" s="2"/>
      <c r="I21" s="2"/>
      <c r="J21" s="2"/>
      <c r="K21" s="1"/>
      <c r="L21" s="1"/>
      <c r="M21" s="1"/>
      <c r="N21" s="1"/>
      <c r="O21" s="1"/>
      <c r="P21" s="1"/>
      <c r="Q21" s="1"/>
      <c r="R21" s="1"/>
      <c r="S21" s="1"/>
      <c r="T21" s="1"/>
      <c r="U21" s="1"/>
      <c r="V21" s="1"/>
      <c r="W21" s="1"/>
      <c r="X21" s="1"/>
      <c r="Y21" s="1"/>
      <c r="Z21" s="1"/>
    </row>
    <row r="22" spans="1:26" ht="31.5" customHeight="1" x14ac:dyDescent="0.2">
      <c r="A22" s="7" t="s">
        <v>146</v>
      </c>
      <c r="B22" s="20">
        <v>50</v>
      </c>
      <c r="C22" s="2"/>
      <c r="D22" s="2"/>
      <c r="E22" s="2"/>
      <c r="F22" s="52" t="s">
        <v>147</v>
      </c>
      <c r="G22" s="53">
        <v>0.35</v>
      </c>
      <c r="H22" s="24" t="s">
        <v>148</v>
      </c>
      <c r="I22" s="2"/>
      <c r="J22" s="2"/>
      <c r="K22" s="1"/>
      <c r="L22" s="1"/>
      <c r="M22" s="1"/>
      <c r="N22" s="1"/>
      <c r="O22" s="1"/>
      <c r="P22" s="1"/>
      <c r="Q22" s="1"/>
      <c r="R22" s="1"/>
      <c r="S22" s="1"/>
      <c r="T22" s="1"/>
      <c r="U22" s="1"/>
      <c r="V22" s="1"/>
      <c r="W22" s="1"/>
      <c r="X22" s="1"/>
      <c r="Y22" s="1"/>
      <c r="Z22" s="1"/>
    </row>
    <row r="23" spans="1:26" ht="31.5" customHeight="1" x14ac:dyDescent="0.2">
      <c r="A23" s="7" t="s">
        <v>149</v>
      </c>
      <c r="B23" s="20">
        <v>50</v>
      </c>
      <c r="C23" s="2"/>
      <c r="D23" s="2"/>
      <c r="E23" s="2"/>
      <c r="F23" s="52" t="s">
        <v>150</v>
      </c>
      <c r="G23" s="53">
        <v>0.35</v>
      </c>
      <c r="H23" s="24" t="s">
        <v>151</v>
      </c>
      <c r="I23" s="2"/>
      <c r="J23" s="2"/>
      <c r="K23" s="1"/>
      <c r="L23" s="1"/>
      <c r="M23" s="1"/>
      <c r="N23" s="1"/>
      <c r="O23" s="1"/>
      <c r="P23" s="1"/>
      <c r="Q23" s="1"/>
      <c r="R23" s="1"/>
      <c r="S23" s="1"/>
      <c r="T23" s="1"/>
      <c r="U23" s="1"/>
      <c r="V23" s="1"/>
      <c r="W23" s="1"/>
      <c r="X23" s="1"/>
      <c r="Y23" s="1"/>
      <c r="Z23" s="1"/>
    </row>
    <row r="24" spans="1:26" ht="31.5" customHeight="1" x14ac:dyDescent="0.2">
      <c r="A24" s="7" t="s">
        <v>152</v>
      </c>
      <c r="B24" s="20">
        <v>50</v>
      </c>
      <c r="C24" s="2"/>
      <c r="D24" s="2"/>
      <c r="E24" s="2"/>
      <c r="F24" s="52" t="s">
        <v>153</v>
      </c>
      <c r="G24" s="53">
        <v>0.75</v>
      </c>
      <c r="H24" s="24" t="s">
        <v>154</v>
      </c>
      <c r="I24" s="2"/>
      <c r="J24" s="2"/>
      <c r="K24" s="1"/>
      <c r="L24" s="1"/>
      <c r="M24" s="1"/>
      <c r="N24" s="1"/>
      <c r="O24" s="1"/>
      <c r="P24" s="1"/>
      <c r="Q24" s="1"/>
      <c r="R24" s="1"/>
      <c r="S24" s="1"/>
      <c r="T24" s="1"/>
      <c r="U24" s="1"/>
      <c r="V24" s="1"/>
      <c r="W24" s="1"/>
      <c r="X24" s="1"/>
      <c r="Y24" s="1"/>
      <c r="Z24" s="1"/>
    </row>
    <row r="25" spans="1:26" ht="31.5" customHeight="1" x14ac:dyDescent="0.2">
      <c r="A25" s="2"/>
      <c r="B25" s="2"/>
      <c r="C25" s="2"/>
      <c r="D25" s="2"/>
      <c r="E25" s="2"/>
      <c r="F25" s="52" t="s">
        <v>155</v>
      </c>
      <c r="G25" s="53">
        <v>0.75</v>
      </c>
      <c r="H25" s="24" t="s">
        <v>156</v>
      </c>
      <c r="I25" s="2"/>
      <c r="J25" s="2"/>
      <c r="K25" s="1"/>
      <c r="L25" s="1"/>
      <c r="M25" s="1"/>
      <c r="N25" s="1"/>
      <c r="O25" s="1"/>
      <c r="P25" s="1"/>
      <c r="Q25" s="1"/>
      <c r="R25" s="1"/>
      <c r="S25" s="1"/>
      <c r="T25" s="1"/>
      <c r="U25" s="1"/>
      <c r="V25" s="1"/>
      <c r="W25" s="1"/>
      <c r="X25" s="1"/>
      <c r="Y25" s="1"/>
      <c r="Z25" s="1"/>
    </row>
    <row r="26" spans="1:26" ht="15.75" customHeight="1" x14ac:dyDescent="0.2">
      <c r="A26" s="2"/>
      <c r="B26" s="2"/>
      <c r="C26" s="2"/>
      <c r="D26" s="2"/>
      <c r="E26" s="2"/>
      <c r="F26" s="54" t="s">
        <v>157</v>
      </c>
      <c r="G26" s="54">
        <v>10</v>
      </c>
      <c r="H26" s="55" t="s">
        <v>158</v>
      </c>
      <c r="I26" s="2"/>
      <c r="J26" s="2"/>
      <c r="K26" s="1"/>
      <c r="L26" s="1"/>
      <c r="M26" s="1"/>
      <c r="N26" s="1"/>
      <c r="O26" s="1"/>
      <c r="P26" s="1"/>
      <c r="Q26" s="1"/>
      <c r="R26" s="1"/>
      <c r="S26" s="1"/>
      <c r="T26" s="1"/>
      <c r="U26" s="1"/>
      <c r="V26" s="1"/>
      <c r="W26" s="1"/>
      <c r="X26" s="1"/>
      <c r="Y26" s="1"/>
      <c r="Z26" s="1"/>
    </row>
    <row r="27" spans="1:26" ht="15.75" customHeight="1" x14ac:dyDescent="0.2">
      <c r="A27" s="92" t="s">
        <v>159</v>
      </c>
      <c r="B27" s="76"/>
      <c r="C27" s="76"/>
      <c r="D27" s="76"/>
      <c r="E27" s="76"/>
      <c r="F27" s="76"/>
      <c r="G27" s="76"/>
      <c r="H27" s="76"/>
      <c r="I27" s="76"/>
      <c r="J27" s="76"/>
      <c r="K27" s="1"/>
      <c r="L27" s="1"/>
      <c r="M27" s="1"/>
      <c r="N27" s="1"/>
      <c r="O27" s="1"/>
      <c r="P27" s="1"/>
      <c r="Q27" s="1"/>
      <c r="R27" s="1"/>
      <c r="S27" s="1"/>
      <c r="T27" s="1"/>
      <c r="U27" s="1"/>
      <c r="V27" s="1"/>
      <c r="W27" s="1"/>
      <c r="X27" s="1"/>
      <c r="Y27" s="1"/>
      <c r="Z27" s="1"/>
    </row>
    <row r="28" spans="1:26" ht="24" customHeight="1" x14ac:dyDescent="0.2">
      <c r="A28" s="80" t="s">
        <v>214</v>
      </c>
      <c r="B28" s="76"/>
      <c r="C28" s="76"/>
      <c r="D28" s="76"/>
      <c r="E28" s="76"/>
      <c r="F28" s="76"/>
      <c r="G28" s="76"/>
      <c r="H28" s="76"/>
      <c r="I28" s="76"/>
      <c r="J28" s="76"/>
      <c r="K28" s="1"/>
      <c r="L28" s="1"/>
      <c r="M28" s="1"/>
      <c r="N28" s="1"/>
      <c r="O28" s="1"/>
      <c r="P28" s="1"/>
      <c r="Q28" s="1"/>
      <c r="R28" s="1"/>
      <c r="S28" s="1"/>
      <c r="T28" s="1"/>
      <c r="U28" s="1"/>
      <c r="V28" s="1"/>
      <c r="W28" s="1"/>
      <c r="X28" s="1"/>
      <c r="Y28" s="1"/>
      <c r="Z28" s="1"/>
    </row>
    <row r="29" spans="1:26" ht="24" customHeight="1" x14ac:dyDescent="0.2">
      <c r="A29" s="76"/>
      <c r="B29" s="76"/>
      <c r="C29" s="76"/>
      <c r="D29" s="76"/>
      <c r="E29" s="76"/>
      <c r="F29" s="76"/>
      <c r="G29" s="76"/>
      <c r="H29" s="76"/>
      <c r="I29" s="76"/>
      <c r="J29" s="76"/>
      <c r="K29" s="1"/>
      <c r="L29" s="1"/>
      <c r="M29" s="1"/>
      <c r="N29" s="1"/>
      <c r="O29" s="1"/>
      <c r="P29" s="1"/>
      <c r="Q29" s="1"/>
      <c r="R29" s="1"/>
      <c r="S29" s="1"/>
      <c r="T29" s="1"/>
      <c r="U29" s="1"/>
      <c r="V29" s="1"/>
      <c r="W29" s="1"/>
      <c r="X29" s="1"/>
      <c r="Y29" s="1"/>
      <c r="Z29" s="1"/>
    </row>
    <row r="30" spans="1:26" ht="24" customHeight="1" x14ac:dyDescent="0.2">
      <c r="A30" s="76"/>
      <c r="B30" s="76"/>
      <c r="C30" s="76"/>
      <c r="D30" s="76"/>
      <c r="E30" s="76"/>
      <c r="F30" s="76"/>
      <c r="G30" s="76"/>
      <c r="H30" s="76"/>
      <c r="I30" s="76"/>
      <c r="J30" s="76"/>
      <c r="K30" s="1"/>
      <c r="L30" s="1"/>
      <c r="M30" s="1"/>
      <c r="N30" s="1"/>
      <c r="O30" s="1"/>
      <c r="P30" s="1"/>
      <c r="Q30" s="1"/>
      <c r="R30" s="1"/>
      <c r="S30" s="1"/>
      <c r="T30" s="1"/>
      <c r="U30" s="1"/>
      <c r="V30" s="1"/>
      <c r="W30" s="1"/>
      <c r="X30" s="1"/>
      <c r="Y30" s="1"/>
      <c r="Z30" s="1"/>
    </row>
    <row r="31" spans="1:26" ht="24" customHeight="1" x14ac:dyDescent="0.2">
      <c r="A31" s="76"/>
      <c r="B31" s="76"/>
      <c r="C31" s="76"/>
      <c r="D31" s="76"/>
      <c r="E31" s="76"/>
      <c r="F31" s="76"/>
      <c r="G31" s="76"/>
      <c r="H31" s="76"/>
      <c r="I31" s="76"/>
      <c r="J31" s="76"/>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J1"/>
    <mergeCell ref="A27:J27"/>
    <mergeCell ref="A28:J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baseColWidth="10" defaultColWidth="14.5" defaultRowHeight="15" x14ac:dyDescent="0.2"/>
  <cols>
    <col min="1" max="1" width="24" customWidth="1"/>
    <col min="2" max="2" width="18" customWidth="1"/>
    <col min="3" max="4" width="30" customWidth="1"/>
    <col min="5" max="5" width="18" customWidth="1"/>
    <col min="6" max="6" width="30" customWidth="1"/>
    <col min="7" max="7" width="19" customWidth="1"/>
    <col min="8" max="8" width="4" customWidth="1"/>
    <col min="9" max="9" width="30" customWidth="1"/>
    <col min="10" max="11" width="22" customWidth="1"/>
    <col min="12" max="12" width="16" customWidth="1"/>
    <col min="13" max="26" width="12.5" customWidth="1"/>
  </cols>
  <sheetData>
    <row r="1" spans="1:26" ht="24" customHeight="1" x14ac:dyDescent="0.3">
      <c r="A1" s="75" t="s">
        <v>0</v>
      </c>
      <c r="B1" s="76"/>
      <c r="C1" s="76"/>
      <c r="D1" s="76"/>
      <c r="E1" s="76"/>
      <c r="F1" s="76"/>
      <c r="G1" s="76"/>
      <c r="H1" s="76"/>
      <c r="I1" s="76"/>
      <c r="J1" s="76"/>
      <c r="K1" s="1"/>
      <c r="L1" s="1"/>
      <c r="M1" s="1"/>
      <c r="N1" s="1"/>
      <c r="O1" s="1"/>
      <c r="P1" s="1"/>
      <c r="Q1" s="1"/>
      <c r="R1" s="1"/>
      <c r="S1" s="1"/>
      <c r="T1" s="1"/>
      <c r="U1" s="1"/>
      <c r="V1" s="1"/>
      <c r="W1" s="1"/>
      <c r="X1" s="1"/>
      <c r="Y1" s="1"/>
      <c r="Z1" s="1"/>
    </row>
    <row r="2" spans="1:26" ht="18" customHeight="1" x14ac:dyDescent="0.25">
      <c r="A2" s="77" t="s">
        <v>1</v>
      </c>
      <c r="B2" s="76"/>
      <c r="C2" s="76"/>
      <c r="D2" s="76"/>
      <c r="E2" s="76"/>
      <c r="F2" s="76"/>
      <c r="G2" s="76"/>
      <c r="H2" s="76"/>
      <c r="I2" s="76"/>
      <c r="J2" s="76"/>
      <c r="K2" s="1"/>
      <c r="L2" s="1"/>
      <c r="M2" s="1"/>
      <c r="N2" s="1"/>
      <c r="O2" s="1"/>
      <c r="P2" s="1"/>
      <c r="Q2" s="1"/>
      <c r="R2" s="1"/>
      <c r="S2" s="1"/>
      <c r="T2" s="1"/>
      <c r="U2" s="1"/>
      <c r="V2" s="1"/>
      <c r="W2" s="1"/>
      <c r="X2" s="1"/>
      <c r="Y2" s="1"/>
      <c r="Z2" s="1"/>
    </row>
    <row r="3" spans="1:26" ht="15" customHeight="1" x14ac:dyDescent="0.2">
      <c r="A3" s="2"/>
      <c r="B3" s="2"/>
      <c r="C3" s="2"/>
      <c r="D3" s="2"/>
      <c r="E3" s="2"/>
      <c r="F3" s="2"/>
      <c r="G3" s="2"/>
      <c r="H3" s="2"/>
      <c r="I3" s="2"/>
      <c r="J3" s="2"/>
      <c r="K3" s="1"/>
      <c r="L3" s="1"/>
      <c r="M3" s="1"/>
      <c r="N3" s="1"/>
      <c r="O3" s="1"/>
      <c r="P3" s="1"/>
      <c r="Q3" s="1"/>
      <c r="R3" s="1"/>
      <c r="S3" s="1"/>
      <c r="T3" s="1"/>
      <c r="U3" s="1"/>
      <c r="V3" s="1"/>
      <c r="W3" s="1"/>
      <c r="X3" s="1"/>
      <c r="Y3" s="1"/>
      <c r="Z3" s="1"/>
    </row>
    <row r="4" spans="1:26" ht="18" customHeight="1" x14ac:dyDescent="0.25">
      <c r="A4" s="78" t="s">
        <v>160</v>
      </c>
      <c r="B4" s="76"/>
      <c r="C4" s="76"/>
      <c r="D4" s="76"/>
      <c r="E4" s="76"/>
      <c r="F4" s="76"/>
      <c r="G4" s="76"/>
      <c r="H4" s="76"/>
      <c r="I4" s="76"/>
      <c r="J4" s="76"/>
      <c r="K4" s="1"/>
      <c r="L4" s="1"/>
      <c r="M4" s="1"/>
      <c r="N4" s="1"/>
      <c r="O4" s="1"/>
      <c r="P4" s="1"/>
      <c r="Q4" s="1"/>
      <c r="R4" s="1"/>
      <c r="S4" s="1"/>
      <c r="T4" s="1"/>
      <c r="U4" s="1"/>
      <c r="V4" s="1"/>
      <c r="W4" s="1"/>
      <c r="X4" s="1"/>
      <c r="Y4" s="1"/>
      <c r="Z4" s="1"/>
    </row>
    <row r="5" spans="1:26" ht="15" customHeight="1" x14ac:dyDescent="0.2">
      <c r="A5" s="2"/>
      <c r="B5" s="2"/>
      <c r="C5" s="2"/>
      <c r="D5" s="2"/>
      <c r="E5" s="2"/>
      <c r="F5" s="2"/>
      <c r="G5" s="2"/>
      <c r="H5" s="2"/>
      <c r="I5" s="2"/>
      <c r="J5" s="2"/>
      <c r="K5" s="1"/>
      <c r="L5" s="1"/>
      <c r="M5" s="1"/>
      <c r="N5" s="1"/>
      <c r="O5" s="1"/>
      <c r="P5" s="1"/>
      <c r="Q5" s="1"/>
      <c r="R5" s="1"/>
      <c r="S5" s="1"/>
      <c r="T5" s="1"/>
      <c r="U5" s="1"/>
      <c r="V5" s="1"/>
      <c r="W5" s="1"/>
      <c r="X5" s="1"/>
      <c r="Y5" s="1"/>
      <c r="Z5" s="1"/>
    </row>
    <row r="6" spans="1:26" ht="15" customHeight="1" x14ac:dyDescent="0.2">
      <c r="A6" s="2" t="s">
        <v>3</v>
      </c>
      <c r="B6" s="3"/>
      <c r="C6" s="2"/>
      <c r="D6" s="2"/>
      <c r="E6" s="2"/>
      <c r="F6" s="2"/>
      <c r="G6" s="2"/>
      <c r="H6" s="2"/>
      <c r="I6" s="2"/>
      <c r="J6" s="2"/>
      <c r="K6" s="1"/>
      <c r="L6" s="1"/>
      <c r="M6" s="1"/>
      <c r="N6" s="1"/>
      <c r="O6" s="1"/>
      <c r="P6" s="1"/>
      <c r="Q6" s="1"/>
      <c r="R6" s="1"/>
      <c r="S6" s="1"/>
      <c r="T6" s="1"/>
      <c r="U6" s="1"/>
      <c r="V6" s="1"/>
      <c r="W6" s="1"/>
      <c r="X6" s="1"/>
      <c r="Y6" s="1"/>
      <c r="Z6" s="1"/>
    </row>
    <row r="7" spans="1:26" ht="15" customHeight="1" x14ac:dyDescent="0.2">
      <c r="A7" s="2" t="s">
        <v>4</v>
      </c>
      <c r="B7" s="3"/>
      <c r="C7" s="2"/>
      <c r="D7" s="2"/>
      <c r="E7" s="2"/>
      <c r="F7" s="2"/>
      <c r="G7" s="2"/>
      <c r="H7" s="2"/>
      <c r="I7" s="2"/>
      <c r="J7" s="2"/>
      <c r="K7" s="1"/>
      <c r="L7" s="1"/>
      <c r="M7" s="1"/>
      <c r="N7" s="1"/>
      <c r="O7" s="1"/>
      <c r="P7" s="1"/>
      <c r="Q7" s="1"/>
      <c r="R7" s="1"/>
      <c r="S7" s="1"/>
      <c r="T7" s="1"/>
      <c r="U7" s="1"/>
      <c r="V7" s="1"/>
      <c r="W7" s="1"/>
      <c r="X7" s="1"/>
      <c r="Y7" s="1"/>
      <c r="Z7" s="1"/>
    </row>
    <row r="8" spans="1:26" ht="15" customHeight="1" x14ac:dyDescent="0.2">
      <c r="A8" s="2" t="s">
        <v>5</v>
      </c>
      <c r="B8" s="3"/>
      <c r="C8" s="2"/>
      <c r="D8" s="2"/>
      <c r="E8" s="2"/>
      <c r="F8" s="2"/>
      <c r="G8" s="2"/>
      <c r="H8" s="2"/>
      <c r="I8" s="2"/>
      <c r="J8" s="2"/>
      <c r="K8" s="1"/>
      <c r="L8" s="1"/>
      <c r="M8" s="1"/>
      <c r="N8" s="1"/>
      <c r="O8" s="1"/>
      <c r="P8" s="1"/>
      <c r="Q8" s="1"/>
      <c r="R8" s="1"/>
      <c r="S8" s="1"/>
      <c r="T8" s="1"/>
      <c r="U8" s="1"/>
      <c r="V8" s="1"/>
      <c r="W8" s="1"/>
      <c r="X8" s="1"/>
      <c r="Y8" s="1"/>
      <c r="Z8" s="1"/>
    </row>
    <row r="9" spans="1:26" ht="15" customHeight="1" x14ac:dyDescent="0.2">
      <c r="A9" s="2" t="s">
        <v>6</v>
      </c>
      <c r="B9" s="3"/>
      <c r="C9" s="2"/>
      <c r="D9" s="2"/>
      <c r="E9" s="2"/>
      <c r="F9" s="2"/>
      <c r="G9" s="2"/>
      <c r="H9" s="2"/>
      <c r="I9" s="2"/>
      <c r="J9" s="2"/>
      <c r="K9" s="1"/>
      <c r="L9" s="1"/>
      <c r="M9" s="1"/>
      <c r="N9" s="1"/>
      <c r="O9" s="1"/>
      <c r="P9" s="1"/>
      <c r="Q9" s="1"/>
      <c r="R9" s="1"/>
      <c r="S9" s="1"/>
      <c r="T9" s="1"/>
      <c r="U9" s="1"/>
      <c r="V9" s="1"/>
      <c r="W9" s="1"/>
      <c r="X9" s="1"/>
      <c r="Y9" s="1"/>
      <c r="Z9" s="1"/>
    </row>
    <row r="10" spans="1:26" ht="15" customHeight="1" x14ac:dyDescent="0.2">
      <c r="A10" s="2"/>
      <c r="B10" s="2"/>
      <c r="C10" s="2"/>
      <c r="D10" s="2"/>
      <c r="E10" s="2"/>
      <c r="F10" s="2"/>
      <c r="G10" s="2"/>
      <c r="H10" s="2"/>
      <c r="I10" s="2"/>
      <c r="J10" s="2"/>
      <c r="K10" s="1"/>
      <c r="L10" s="1"/>
      <c r="M10" s="1"/>
      <c r="N10" s="1"/>
      <c r="O10" s="1"/>
      <c r="P10" s="1"/>
      <c r="Q10" s="1"/>
      <c r="R10" s="1"/>
      <c r="S10" s="1"/>
      <c r="T10" s="1"/>
      <c r="U10" s="1"/>
      <c r="V10" s="1"/>
      <c r="W10" s="1"/>
      <c r="X10" s="1"/>
      <c r="Y10" s="1"/>
      <c r="Z10" s="1"/>
    </row>
    <row r="11" spans="1:26" ht="15.75" customHeight="1" x14ac:dyDescent="0.2">
      <c r="A11" s="79" t="s">
        <v>7</v>
      </c>
      <c r="B11" s="76"/>
      <c r="C11" s="76"/>
      <c r="D11" s="76"/>
      <c r="E11" s="76"/>
      <c r="F11" s="76"/>
      <c r="G11" s="76"/>
      <c r="H11" s="76"/>
      <c r="I11" s="76"/>
      <c r="J11" s="76"/>
      <c r="K11" s="1"/>
      <c r="L11" s="1"/>
      <c r="M11" s="1"/>
      <c r="N11" s="1"/>
      <c r="O11" s="1"/>
      <c r="P11" s="1"/>
      <c r="Q11" s="1"/>
      <c r="R11" s="1"/>
      <c r="S11" s="1"/>
      <c r="T11" s="1"/>
      <c r="U11" s="1"/>
      <c r="V11" s="1"/>
      <c r="W11" s="1"/>
      <c r="X11" s="1"/>
      <c r="Y11" s="1"/>
      <c r="Z11" s="1"/>
    </row>
    <row r="12" spans="1:26" ht="24" customHeight="1" x14ac:dyDescent="0.2">
      <c r="A12" s="80" t="s">
        <v>8</v>
      </c>
      <c r="B12" s="76"/>
      <c r="C12" s="76"/>
      <c r="D12" s="76"/>
      <c r="E12" s="76"/>
      <c r="F12" s="76"/>
      <c r="G12" s="76"/>
      <c r="H12" s="76"/>
      <c r="I12" s="76"/>
      <c r="J12" s="76"/>
      <c r="K12" s="1"/>
      <c r="L12" s="1"/>
      <c r="M12" s="1"/>
      <c r="N12" s="1"/>
      <c r="O12" s="1"/>
      <c r="P12" s="1"/>
      <c r="Q12" s="1"/>
      <c r="R12" s="1"/>
      <c r="S12" s="1"/>
      <c r="T12" s="1"/>
      <c r="U12" s="1"/>
      <c r="V12" s="1"/>
      <c r="W12" s="1"/>
      <c r="X12" s="1"/>
      <c r="Y12" s="1"/>
      <c r="Z12" s="1"/>
    </row>
    <row r="13" spans="1:26" ht="24" customHeight="1" x14ac:dyDescent="0.2">
      <c r="A13" s="76"/>
      <c r="B13" s="76"/>
      <c r="C13" s="76"/>
      <c r="D13" s="76"/>
      <c r="E13" s="76"/>
      <c r="F13" s="76"/>
      <c r="G13" s="76"/>
      <c r="H13" s="76"/>
      <c r="I13" s="76"/>
      <c r="J13" s="76"/>
      <c r="K13" s="1"/>
      <c r="L13" s="1"/>
      <c r="M13" s="1"/>
      <c r="N13" s="1"/>
      <c r="O13" s="1"/>
      <c r="P13" s="1"/>
      <c r="Q13" s="1"/>
      <c r="R13" s="1"/>
      <c r="S13" s="1"/>
      <c r="T13" s="1"/>
      <c r="U13" s="1"/>
      <c r="V13" s="1"/>
      <c r="W13" s="1"/>
      <c r="X13" s="1"/>
      <c r="Y13" s="1"/>
      <c r="Z13" s="1"/>
    </row>
    <row r="14" spans="1:26" ht="24" customHeight="1" x14ac:dyDescent="0.2">
      <c r="A14" s="76"/>
      <c r="B14" s="76"/>
      <c r="C14" s="76"/>
      <c r="D14" s="76"/>
      <c r="E14" s="76"/>
      <c r="F14" s="76"/>
      <c r="G14" s="76"/>
      <c r="H14" s="76"/>
      <c r="I14" s="76"/>
      <c r="J14" s="76"/>
      <c r="K14" s="1"/>
      <c r="L14" s="1"/>
      <c r="M14" s="1"/>
      <c r="N14" s="1"/>
      <c r="O14" s="1"/>
      <c r="P14" s="1"/>
      <c r="Q14" s="1"/>
      <c r="R14" s="1"/>
      <c r="S14" s="1"/>
      <c r="T14" s="1"/>
      <c r="U14" s="1"/>
      <c r="V14" s="1"/>
      <c r="W14" s="1"/>
      <c r="X14" s="1"/>
      <c r="Y14" s="1"/>
      <c r="Z14" s="1"/>
    </row>
    <row r="15" spans="1:26" ht="24" customHeight="1" x14ac:dyDescent="0.2">
      <c r="A15" s="76"/>
      <c r="B15" s="76"/>
      <c r="C15" s="76"/>
      <c r="D15" s="76"/>
      <c r="E15" s="76"/>
      <c r="F15" s="76"/>
      <c r="G15" s="76"/>
      <c r="H15" s="76"/>
      <c r="I15" s="76"/>
      <c r="J15" s="76"/>
      <c r="K15" s="1"/>
      <c r="L15" s="1"/>
      <c r="M15" s="1"/>
      <c r="N15" s="1"/>
      <c r="O15" s="1"/>
      <c r="P15" s="1"/>
      <c r="Q15" s="1"/>
      <c r="R15" s="1"/>
      <c r="S15" s="1"/>
      <c r="T15" s="1"/>
      <c r="U15" s="1"/>
      <c r="V15" s="1"/>
      <c r="W15" s="1"/>
      <c r="X15" s="1"/>
      <c r="Y15" s="1"/>
      <c r="Z15" s="1"/>
    </row>
    <row r="16" spans="1:26" ht="15" customHeight="1" x14ac:dyDescent="0.2">
      <c r="A16" s="2"/>
      <c r="B16" s="2"/>
      <c r="C16" s="2"/>
      <c r="D16" s="2"/>
      <c r="E16" s="2"/>
      <c r="F16" s="2"/>
      <c r="G16" s="2"/>
      <c r="H16" s="2"/>
      <c r="I16" s="2"/>
      <c r="J16" s="2"/>
      <c r="K16" s="1"/>
      <c r="L16" s="1"/>
      <c r="M16" s="1"/>
      <c r="N16" s="1"/>
      <c r="O16" s="1"/>
      <c r="P16" s="1"/>
      <c r="Q16" s="1"/>
      <c r="R16" s="1"/>
      <c r="S16" s="1"/>
      <c r="T16" s="1"/>
      <c r="U16" s="1"/>
      <c r="V16" s="1"/>
      <c r="W16" s="1"/>
      <c r="X16" s="1"/>
      <c r="Y16" s="1"/>
      <c r="Z16" s="1"/>
    </row>
    <row r="17" spans="1:26" ht="15.75" customHeight="1" x14ac:dyDescent="0.2">
      <c r="A17" s="79" t="s">
        <v>9</v>
      </c>
      <c r="B17" s="76"/>
      <c r="C17" s="76"/>
      <c r="D17" s="76"/>
      <c r="E17" s="76"/>
      <c r="F17" s="76"/>
      <c r="G17" s="2"/>
      <c r="H17" s="2"/>
      <c r="I17" s="2"/>
      <c r="J17" s="2"/>
      <c r="K17" s="1"/>
      <c r="L17" s="1"/>
      <c r="M17" s="1"/>
      <c r="N17" s="1"/>
      <c r="O17" s="1"/>
      <c r="P17" s="1"/>
      <c r="Q17" s="1"/>
      <c r="R17" s="1"/>
      <c r="S17" s="1"/>
      <c r="T17" s="1"/>
      <c r="U17" s="1"/>
      <c r="V17" s="1"/>
      <c r="W17" s="1"/>
      <c r="X17" s="1"/>
      <c r="Y17" s="1"/>
      <c r="Z17" s="1"/>
    </row>
    <row r="18" spans="1:26" ht="15.75" customHeight="1" x14ac:dyDescent="0.2">
      <c r="A18" s="6" t="s">
        <v>10</v>
      </c>
      <c r="B18" s="6" t="s">
        <v>11</v>
      </c>
      <c r="C18" s="2"/>
      <c r="D18" s="2"/>
      <c r="E18" s="2"/>
      <c r="F18" s="2"/>
      <c r="G18" s="2"/>
      <c r="H18" s="2"/>
      <c r="I18" s="2"/>
      <c r="J18" s="2"/>
      <c r="K18" s="1"/>
      <c r="L18" s="1"/>
      <c r="M18" s="1"/>
      <c r="N18" s="1"/>
      <c r="O18" s="1"/>
      <c r="P18" s="1"/>
      <c r="Q18" s="1"/>
      <c r="R18" s="1"/>
      <c r="S18" s="1"/>
      <c r="T18" s="1"/>
      <c r="U18" s="1"/>
      <c r="V18" s="1"/>
      <c r="W18" s="1"/>
      <c r="X18" s="1"/>
      <c r="Y18" s="1"/>
      <c r="Z18" s="1"/>
    </row>
    <row r="19" spans="1:26" ht="15.75" customHeight="1" x14ac:dyDescent="0.2">
      <c r="A19" s="7" t="s">
        <v>12</v>
      </c>
      <c r="B19" s="7" t="s">
        <v>13</v>
      </c>
      <c r="C19" s="2"/>
      <c r="D19" s="2"/>
      <c r="E19" s="2"/>
      <c r="F19" s="2"/>
      <c r="G19" s="2"/>
      <c r="H19" s="2"/>
      <c r="I19" s="2"/>
      <c r="J19" s="2"/>
      <c r="K19" s="1"/>
      <c r="L19" s="1"/>
      <c r="M19" s="1"/>
      <c r="N19" s="1"/>
      <c r="O19" s="1"/>
      <c r="P19" s="1"/>
      <c r="Q19" s="1"/>
      <c r="R19" s="1"/>
      <c r="S19" s="1"/>
      <c r="T19" s="1"/>
      <c r="U19" s="1"/>
      <c r="V19" s="1"/>
      <c r="W19" s="1"/>
      <c r="X19" s="1"/>
      <c r="Y19" s="1"/>
      <c r="Z19" s="1"/>
    </row>
    <row r="20" spans="1:26" ht="15.75" customHeight="1" x14ac:dyDescent="0.2">
      <c r="A20" s="7" t="s">
        <v>14</v>
      </c>
      <c r="B20" s="7" t="s">
        <v>15</v>
      </c>
      <c r="C20" s="2"/>
      <c r="D20" s="2"/>
      <c r="E20" s="2"/>
      <c r="F20" s="2"/>
      <c r="G20" s="2"/>
      <c r="H20" s="2"/>
      <c r="I20" s="2"/>
      <c r="J20" s="2"/>
      <c r="K20" s="1"/>
      <c r="L20" s="1"/>
      <c r="M20" s="1"/>
      <c r="N20" s="1"/>
      <c r="O20" s="1"/>
      <c r="P20" s="1"/>
      <c r="Q20" s="1"/>
      <c r="R20" s="1"/>
      <c r="S20" s="1"/>
      <c r="T20" s="1"/>
      <c r="U20" s="1"/>
      <c r="V20" s="1"/>
      <c r="W20" s="1"/>
      <c r="X20" s="1"/>
      <c r="Y20" s="1"/>
      <c r="Z20" s="1"/>
    </row>
    <row r="21" spans="1:26" ht="15.75" customHeight="1" x14ac:dyDescent="0.2">
      <c r="A21" s="7" t="s">
        <v>16</v>
      </c>
      <c r="B21" s="7" t="s">
        <v>17</v>
      </c>
      <c r="C21" s="2"/>
      <c r="D21" s="2"/>
      <c r="E21" s="2"/>
      <c r="F21" s="2"/>
      <c r="G21" s="2"/>
      <c r="H21" s="2"/>
      <c r="I21" s="2"/>
      <c r="J21" s="2"/>
      <c r="K21" s="1"/>
      <c r="L21" s="1"/>
      <c r="M21" s="1"/>
      <c r="N21" s="1"/>
      <c r="O21" s="1"/>
      <c r="P21" s="1"/>
      <c r="Q21" s="1"/>
      <c r="R21" s="1"/>
      <c r="S21" s="1"/>
      <c r="T21" s="1"/>
      <c r="U21" s="1"/>
      <c r="V21" s="1"/>
      <c r="W21" s="1"/>
      <c r="X21" s="1"/>
      <c r="Y21" s="1"/>
      <c r="Z21" s="1"/>
    </row>
    <row r="22" spans="1:26" ht="15.75" customHeight="1" x14ac:dyDescent="0.2">
      <c r="A22" s="7" t="s">
        <v>18</v>
      </c>
      <c r="B22" s="7" t="s">
        <v>19</v>
      </c>
      <c r="C22" s="2"/>
      <c r="D22" s="2"/>
      <c r="E22" s="2"/>
      <c r="F22" s="2"/>
      <c r="G22" s="2"/>
      <c r="H22" s="2"/>
      <c r="I22" s="2"/>
      <c r="J22" s="2"/>
      <c r="K22" s="1"/>
      <c r="L22" s="1"/>
      <c r="M22" s="1"/>
      <c r="N22" s="1"/>
      <c r="O22" s="1"/>
      <c r="P22" s="1"/>
      <c r="Q22" s="1"/>
      <c r="R22" s="1"/>
      <c r="S22" s="1"/>
      <c r="T22" s="1"/>
      <c r="U22" s="1"/>
      <c r="V22" s="1"/>
      <c r="W22" s="1"/>
      <c r="X22" s="1"/>
      <c r="Y22" s="1"/>
      <c r="Z22" s="1"/>
    </row>
    <row r="23" spans="1:26" ht="15.75" customHeight="1" x14ac:dyDescent="0.2">
      <c r="A23" s="2"/>
      <c r="B23" s="2"/>
      <c r="C23" s="2"/>
      <c r="D23" s="2"/>
      <c r="E23" s="2"/>
      <c r="F23" s="2"/>
      <c r="G23" s="2"/>
      <c r="H23" s="2"/>
      <c r="I23" s="2"/>
      <c r="J23" s="2"/>
      <c r="K23" s="1"/>
      <c r="L23" s="1"/>
      <c r="M23" s="1"/>
      <c r="N23" s="1"/>
      <c r="O23" s="1"/>
      <c r="P23" s="1"/>
      <c r="Q23" s="1"/>
      <c r="R23" s="1"/>
      <c r="S23" s="1"/>
      <c r="T23" s="1"/>
      <c r="U23" s="1"/>
      <c r="V23" s="1"/>
      <c r="W23" s="1"/>
      <c r="X23" s="1"/>
      <c r="Y23" s="1"/>
      <c r="Z23" s="1"/>
    </row>
    <row r="24" spans="1:26" ht="15.75" customHeight="1" x14ac:dyDescent="0.2">
      <c r="A24" s="79" t="s">
        <v>20</v>
      </c>
      <c r="B24" s="76"/>
      <c r="C24" s="76"/>
      <c r="D24" s="76"/>
      <c r="E24" s="76"/>
      <c r="F24" s="76"/>
      <c r="G24" s="76"/>
      <c r="H24" s="76"/>
      <c r="I24" s="76"/>
      <c r="J24" s="76"/>
      <c r="K24" s="1"/>
      <c r="L24" s="1"/>
      <c r="M24" s="1"/>
      <c r="N24" s="1"/>
      <c r="O24" s="1"/>
      <c r="P24" s="1"/>
      <c r="Q24" s="1"/>
      <c r="R24" s="1"/>
      <c r="S24" s="1"/>
      <c r="T24" s="1"/>
      <c r="U24" s="1"/>
      <c r="V24" s="1"/>
      <c r="W24" s="1"/>
      <c r="X24" s="1"/>
      <c r="Y24" s="1"/>
      <c r="Z24" s="1"/>
    </row>
    <row r="25" spans="1:26" ht="15.75" customHeight="1" x14ac:dyDescent="0.2">
      <c r="A25" s="6" t="s">
        <v>21</v>
      </c>
      <c r="B25" s="6" t="s">
        <v>22</v>
      </c>
      <c r="C25" s="6" t="s">
        <v>23</v>
      </c>
      <c r="D25" s="2"/>
      <c r="E25" s="2"/>
      <c r="F25" s="2"/>
      <c r="G25" s="2"/>
      <c r="H25" s="2"/>
      <c r="I25" s="2"/>
      <c r="J25" s="2"/>
      <c r="K25" s="1"/>
      <c r="L25" s="1"/>
      <c r="M25" s="1"/>
      <c r="N25" s="1"/>
      <c r="O25" s="1"/>
      <c r="P25" s="1"/>
      <c r="Q25" s="1"/>
      <c r="R25" s="1"/>
      <c r="S25" s="1"/>
      <c r="T25" s="1"/>
      <c r="U25" s="1"/>
      <c r="V25" s="1"/>
      <c r="W25" s="1"/>
      <c r="X25" s="1"/>
      <c r="Y25" s="1"/>
      <c r="Z25" s="1"/>
    </row>
    <row r="26" spans="1:26" ht="33.75" customHeight="1" x14ac:dyDescent="0.2">
      <c r="A26" s="7" t="s">
        <v>4</v>
      </c>
      <c r="B26" s="7" t="s">
        <v>24</v>
      </c>
      <c r="C26" s="7" t="s">
        <v>25</v>
      </c>
      <c r="D26" s="2"/>
      <c r="E26" s="2"/>
      <c r="F26" s="2"/>
      <c r="G26" s="2"/>
      <c r="H26" s="2"/>
      <c r="I26" s="2"/>
      <c r="J26" s="2"/>
      <c r="K26" s="1"/>
      <c r="L26" s="1"/>
      <c r="M26" s="1"/>
      <c r="N26" s="1"/>
      <c r="O26" s="1"/>
      <c r="P26" s="1"/>
      <c r="Q26" s="1"/>
      <c r="R26" s="1"/>
      <c r="S26" s="1"/>
      <c r="T26" s="1"/>
      <c r="U26" s="1"/>
      <c r="V26" s="1"/>
      <c r="W26" s="1"/>
      <c r="X26" s="1"/>
      <c r="Y26" s="1"/>
      <c r="Z26" s="1"/>
    </row>
    <row r="27" spans="1:26" ht="33.75" customHeight="1" x14ac:dyDescent="0.2">
      <c r="A27" s="7" t="s">
        <v>5</v>
      </c>
      <c r="B27" s="7" t="s">
        <v>26</v>
      </c>
      <c r="C27" s="7" t="s">
        <v>27</v>
      </c>
      <c r="D27" s="2"/>
      <c r="E27" s="2"/>
      <c r="F27" s="2"/>
      <c r="G27" s="2"/>
      <c r="H27" s="2"/>
      <c r="I27" s="2"/>
      <c r="J27" s="2"/>
      <c r="K27" s="1"/>
      <c r="L27" s="1"/>
      <c r="M27" s="1"/>
      <c r="N27" s="1"/>
      <c r="O27" s="1"/>
      <c r="P27" s="1"/>
      <c r="Q27" s="1"/>
      <c r="R27" s="1"/>
      <c r="S27" s="1"/>
      <c r="T27" s="1"/>
      <c r="U27" s="1"/>
      <c r="V27" s="1"/>
      <c r="W27" s="1"/>
      <c r="X27" s="1"/>
      <c r="Y27" s="1"/>
      <c r="Z27" s="1"/>
    </row>
    <row r="28" spans="1:26" ht="33.75" customHeight="1" x14ac:dyDescent="0.2">
      <c r="A28" s="7" t="s">
        <v>6</v>
      </c>
      <c r="B28" s="7" t="s">
        <v>28</v>
      </c>
      <c r="C28" s="7" t="s">
        <v>29</v>
      </c>
      <c r="D28" s="2"/>
      <c r="E28" s="2"/>
      <c r="F28" s="2"/>
      <c r="G28" s="2"/>
      <c r="H28" s="2"/>
      <c r="I28" s="2"/>
      <c r="J28" s="2"/>
      <c r="K28" s="1"/>
      <c r="L28" s="1"/>
      <c r="M28" s="1"/>
      <c r="N28" s="1"/>
      <c r="O28" s="1"/>
      <c r="P28" s="1"/>
      <c r="Q28" s="1"/>
      <c r="R28" s="1"/>
      <c r="S28" s="1"/>
      <c r="T28" s="1"/>
      <c r="U28" s="1"/>
      <c r="V28" s="1"/>
      <c r="W28" s="1"/>
      <c r="X28" s="1"/>
      <c r="Y28" s="1"/>
      <c r="Z28" s="1"/>
    </row>
    <row r="29" spans="1:26" ht="15.75" customHeight="1" x14ac:dyDescent="0.2">
      <c r="A29" s="2"/>
      <c r="B29" s="2"/>
      <c r="C29" s="2"/>
      <c r="D29" s="2"/>
      <c r="E29" s="2"/>
      <c r="F29" s="2"/>
      <c r="G29" s="2"/>
      <c r="H29" s="2"/>
      <c r="I29" s="2"/>
      <c r="J29" s="2"/>
      <c r="K29" s="1"/>
      <c r="L29" s="1"/>
      <c r="M29" s="1"/>
      <c r="N29" s="1"/>
      <c r="O29" s="1"/>
      <c r="P29" s="1"/>
      <c r="Q29" s="1"/>
      <c r="R29" s="1"/>
      <c r="S29" s="1"/>
      <c r="T29" s="1"/>
      <c r="U29" s="1"/>
      <c r="V29" s="1"/>
      <c r="W29" s="1"/>
      <c r="X29" s="1"/>
      <c r="Y29" s="1"/>
      <c r="Z29" s="1"/>
    </row>
    <row r="30" spans="1:26" ht="15.75" customHeight="1" x14ac:dyDescent="0.2">
      <c r="A30" s="79" t="s">
        <v>30</v>
      </c>
      <c r="B30" s="76"/>
      <c r="C30" s="76"/>
      <c r="D30" s="76"/>
      <c r="E30" s="76"/>
      <c r="F30" s="76"/>
      <c r="G30" s="76"/>
      <c r="H30" s="76"/>
      <c r="I30" s="76"/>
      <c r="J30" s="76"/>
      <c r="K30" s="1"/>
      <c r="L30" s="1"/>
      <c r="M30" s="1"/>
      <c r="N30" s="1"/>
      <c r="O30" s="1"/>
      <c r="P30" s="1"/>
      <c r="Q30" s="1"/>
      <c r="R30" s="1"/>
      <c r="S30" s="1"/>
      <c r="T30" s="1"/>
      <c r="U30" s="1"/>
      <c r="V30" s="1"/>
      <c r="W30" s="1"/>
      <c r="X30" s="1"/>
      <c r="Y30" s="1"/>
      <c r="Z30" s="1"/>
    </row>
    <row r="31" spans="1:26" ht="15.75" customHeight="1" x14ac:dyDescent="0.2">
      <c r="A31" s="8" t="s">
        <v>31</v>
      </c>
      <c r="B31" s="8" t="s">
        <v>32</v>
      </c>
      <c r="C31" s="8" t="s">
        <v>33</v>
      </c>
      <c r="D31" s="8" t="s">
        <v>34</v>
      </c>
      <c r="E31" s="2"/>
      <c r="F31" s="2"/>
      <c r="G31" s="2"/>
      <c r="H31" s="2"/>
      <c r="I31" s="2"/>
      <c r="J31" s="2"/>
      <c r="K31" s="1"/>
      <c r="L31" s="1"/>
      <c r="M31" s="1"/>
      <c r="N31" s="1"/>
      <c r="O31" s="1"/>
      <c r="P31" s="1"/>
      <c r="Q31" s="1"/>
      <c r="R31" s="1"/>
      <c r="S31" s="1"/>
      <c r="T31" s="1"/>
      <c r="U31" s="1"/>
      <c r="V31" s="1"/>
      <c r="W31" s="1"/>
      <c r="X31" s="1"/>
      <c r="Y31" s="1"/>
      <c r="Z31" s="1"/>
    </row>
    <row r="32" spans="1:26" ht="48" customHeight="1" x14ac:dyDescent="0.2">
      <c r="A32" s="7" t="s">
        <v>35</v>
      </c>
      <c r="B32" s="7">
        <f>'Scoring Backend'!$B$4</f>
        <v>10</v>
      </c>
      <c r="C32" s="7" t="str">
        <f>'Scoring Backend'!$C$4&amp;" Load / Day"</f>
        <v>1 Load / Day</v>
      </c>
      <c r="D32" s="7" t="s">
        <v>36</v>
      </c>
      <c r="E32" s="2"/>
      <c r="F32" s="2"/>
      <c r="G32" s="2"/>
      <c r="H32" s="2"/>
      <c r="I32" s="2"/>
      <c r="J32" s="2"/>
      <c r="K32" s="1"/>
      <c r="L32" s="1"/>
      <c r="M32" s="1"/>
      <c r="N32" s="1"/>
      <c r="O32" s="1"/>
      <c r="P32" s="1"/>
      <c r="Q32" s="1"/>
      <c r="R32" s="1"/>
      <c r="S32" s="1"/>
      <c r="T32" s="1"/>
      <c r="U32" s="1"/>
      <c r="V32" s="1"/>
      <c r="W32" s="1"/>
      <c r="X32" s="1"/>
      <c r="Y32" s="1"/>
      <c r="Z32" s="1"/>
    </row>
    <row r="33" spans="1:26" ht="15.75" customHeight="1" x14ac:dyDescent="0.2">
      <c r="A33" s="7" t="s">
        <v>37</v>
      </c>
      <c r="B33" s="7">
        <f>'Scoring Backend'!$B$5</f>
        <v>10</v>
      </c>
      <c r="C33" s="7" t="s">
        <v>38</v>
      </c>
      <c r="D33" s="7" t="s">
        <v>39</v>
      </c>
      <c r="E33" s="2"/>
      <c r="F33" s="2"/>
      <c r="G33" s="2"/>
      <c r="H33" s="2"/>
      <c r="I33" s="2"/>
      <c r="J33" s="2"/>
      <c r="K33" s="1"/>
      <c r="L33" s="1"/>
      <c r="M33" s="1"/>
      <c r="N33" s="1"/>
      <c r="O33" s="1"/>
      <c r="P33" s="1"/>
      <c r="Q33" s="1"/>
      <c r="R33" s="1"/>
      <c r="S33" s="1"/>
      <c r="T33" s="1"/>
      <c r="U33" s="1"/>
      <c r="V33" s="1"/>
      <c r="W33" s="1"/>
      <c r="X33" s="1"/>
      <c r="Y33" s="1"/>
      <c r="Z33" s="1"/>
    </row>
    <row r="34" spans="1:26" ht="15.75" customHeight="1" x14ac:dyDescent="0.2">
      <c r="A34" s="7"/>
      <c r="B34" s="7"/>
      <c r="C34" s="7"/>
      <c r="D34" s="7"/>
      <c r="E34" s="2"/>
      <c r="F34" s="2"/>
      <c r="G34" s="2"/>
      <c r="H34" s="2"/>
      <c r="I34" s="2"/>
      <c r="J34" s="2"/>
      <c r="K34" s="1"/>
      <c r="L34" s="1"/>
      <c r="M34" s="1"/>
      <c r="N34" s="1"/>
      <c r="O34" s="1"/>
      <c r="P34" s="1"/>
      <c r="Q34" s="1"/>
      <c r="R34" s="1"/>
      <c r="S34" s="1"/>
      <c r="T34" s="1"/>
      <c r="U34" s="1"/>
      <c r="V34" s="1"/>
      <c r="W34" s="1"/>
      <c r="X34" s="1"/>
      <c r="Y34" s="1"/>
      <c r="Z34" s="1"/>
    </row>
    <row r="35" spans="1:26" ht="31.5" customHeight="1" x14ac:dyDescent="0.2">
      <c r="A35" s="8" t="s">
        <v>40</v>
      </c>
      <c r="B35" s="8" t="s">
        <v>32</v>
      </c>
      <c r="C35" s="8" t="s">
        <v>33</v>
      </c>
      <c r="D35" s="8" t="s">
        <v>196</v>
      </c>
      <c r="E35" s="2"/>
      <c r="F35" s="2"/>
      <c r="G35" s="2"/>
      <c r="H35" s="2"/>
      <c r="I35" s="2"/>
      <c r="J35" s="2"/>
      <c r="K35" s="1"/>
      <c r="L35" s="1"/>
      <c r="M35" s="1"/>
      <c r="N35" s="1"/>
      <c r="O35" s="1"/>
      <c r="P35" s="1"/>
      <c r="Q35" s="1"/>
      <c r="R35" s="1"/>
      <c r="S35" s="1"/>
      <c r="T35" s="1"/>
      <c r="U35" s="1"/>
      <c r="V35" s="1"/>
      <c r="W35" s="1"/>
      <c r="X35" s="1"/>
      <c r="Y35" s="1"/>
      <c r="Z35" s="1"/>
    </row>
    <row r="36" spans="1:26" ht="31.5" customHeight="1" x14ac:dyDescent="0.2">
      <c r="A36" s="7" t="s">
        <v>41</v>
      </c>
      <c r="B36" s="7">
        <f>'Scoring Backend'!$B$6</f>
        <v>20</v>
      </c>
      <c r="C36" s="7" t="str">
        <f>'Scoring Backend'!$C$6&amp;" Loads / Day"</f>
        <v>3 Loads / Day</v>
      </c>
      <c r="D36" s="7" t="s">
        <v>197</v>
      </c>
      <c r="E36" s="2"/>
      <c r="F36" s="2"/>
      <c r="G36" s="2"/>
      <c r="H36" s="2"/>
      <c r="I36" s="2"/>
      <c r="J36" s="2"/>
      <c r="K36" s="1"/>
      <c r="L36" s="1"/>
      <c r="M36" s="1"/>
      <c r="N36" s="1"/>
      <c r="O36" s="1"/>
      <c r="P36" s="1"/>
      <c r="Q36" s="1"/>
      <c r="R36" s="1"/>
      <c r="S36" s="1"/>
      <c r="T36" s="1"/>
      <c r="U36" s="1"/>
      <c r="V36" s="1"/>
      <c r="W36" s="1"/>
      <c r="X36" s="1"/>
      <c r="Y36" s="1"/>
      <c r="Z36" s="1"/>
    </row>
    <row r="37" spans="1:26" ht="31.5" customHeight="1" x14ac:dyDescent="0.2">
      <c r="A37" s="7" t="s">
        <v>42</v>
      </c>
      <c r="B37" s="7">
        <f>'Scoring Backend'!$B$7</f>
        <v>35</v>
      </c>
      <c r="C37" s="7" t="str">
        <f>'Scoring Backend'!$C$7&amp;" Loads / Day"</f>
        <v>5 Loads / Day</v>
      </c>
      <c r="D37" s="7" t="s">
        <v>198</v>
      </c>
      <c r="E37" s="2"/>
      <c r="F37" s="2"/>
      <c r="G37" s="2"/>
      <c r="H37" s="2"/>
      <c r="I37" s="2"/>
      <c r="J37" s="2"/>
      <c r="K37" s="1"/>
      <c r="L37" s="1"/>
      <c r="M37" s="1"/>
      <c r="N37" s="1"/>
      <c r="O37" s="1"/>
      <c r="P37" s="1"/>
      <c r="Q37" s="1"/>
      <c r="R37" s="1"/>
      <c r="S37" s="1"/>
      <c r="T37" s="1"/>
      <c r="U37" s="1"/>
      <c r="V37" s="1"/>
      <c r="W37" s="1"/>
      <c r="X37" s="1"/>
      <c r="Y37" s="1"/>
      <c r="Z37" s="1"/>
    </row>
    <row r="38" spans="1:26" ht="31.5" customHeight="1" x14ac:dyDescent="0.2">
      <c r="A38" s="7" t="s">
        <v>43</v>
      </c>
      <c r="B38" s="7">
        <f>'Scoring Backend'!$B$8</f>
        <v>60</v>
      </c>
      <c r="C38" s="7" t="str">
        <f>'Scoring Backend'!$C$8&amp;" Loads / Day"</f>
        <v>8 Loads / Day</v>
      </c>
      <c r="D38" s="7" t="s">
        <v>199</v>
      </c>
      <c r="E38" s="2"/>
      <c r="F38" s="2"/>
      <c r="G38" s="2"/>
      <c r="H38" s="2"/>
      <c r="I38" s="2"/>
      <c r="J38" s="2"/>
      <c r="K38" s="1"/>
      <c r="L38" s="1"/>
      <c r="M38" s="1"/>
      <c r="N38" s="1"/>
      <c r="O38" s="1"/>
      <c r="P38" s="1"/>
      <c r="Q38" s="1"/>
      <c r="R38" s="1"/>
      <c r="S38" s="1"/>
      <c r="T38" s="1"/>
      <c r="U38" s="1"/>
      <c r="V38" s="1"/>
      <c r="W38" s="1"/>
      <c r="X38" s="1"/>
      <c r="Y38" s="1"/>
      <c r="Z38" s="1"/>
    </row>
    <row r="39" spans="1:26" ht="15.75" customHeight="1" x14ac:dyDescent="0.2">
      <c r="A39" s="2"/>
      <c r="B39" s="2"/>
      <c r="C39" s="2"/>
      <c r="D39" s="2"/>
      <c r="E39" s="2"/>
      <c r="F39" s="2"/>
      <c r="G39" s="2"/>
      <c r="H39" s="2"/>
      <c r="I39" s="2"/>
      <c r="J39" s="2"/>
      <c r="K39" s="1"/>
      <c r="L39" s="1"/>
      <c r="M39" s="1"/>
      <c r="N39" s="1"/>
      <c r="O39" s="1"/>
      <c r="P39" s="1"/>
      <c r="Q39" s="1"/>
      <c r="R39" s="1"/>
      <c r="S39" s="1"/>
      <c r="T39" s="1"/>
      <c r="U39" s="1"/>
      <c r="V39" s="1"/>
      <c r="W39" s="1"/>
      <c r="X39" s="1"/>
      <c r="Y39" s="1"/>
      <c r="Z39" s="1"/>
    </row>
    <row r="40" spans="1:26" ht="15.75" customHeight="1" x14ac:dyDescent="0.2">
      <c r="A40" s="79" t="s">
        <v>44</v>
      </c>
      <c r="B40" s="76"/>
      <c r="C40" s="76"/>
      <c r="D40" s="76"/>
      <c r="E40" s="76"/>
      <c r="F40" s="76"/>
      <c r="G40" s="76"/>
      <c r="H40" s="76"/>
      <c r="I40" s="76"/>
      <c r="J40" s="76"/>
      <c r="K40" s="1"/>
      <c r="L40" s="1"/>
      <c r="M40" s="1"/>
      <c r="N40" s="1"/>
      <c r="O40" s="1"/>
      <c r="P40" s="1"/>
      <c r="Q40" s="1"/>
      <c r="R40" s="1"/>
      <c r="S40" s="1"/>
      <c r="T40" s="1"/>
      <c r="U40" s="1"/>
      <c r="V40" s="1"/>
      <c r="W40" s="1"/>
      <c r="X40" s="1"/>
      <c r="Y40" s="1"/>
      <c r="Z40" s="1"/>
    </row>
    <row r="41" spans="1:26" ht="15.75" customHeight="1" x14ac:dyDescent="0.2">
      <c r="A41" s="90" t="s">
        <v>45</v>
      </c>
      <c r="B41" s="76"/>
      <c r="C41" s="76"/>
      <c r="D41" s="76"/>
      <c r="E41" s="76"/>
      <c r="F41" s="76"/>
      <c r="G41" s="76"/>
      <c r="H41" s="76"/>
      <c r="I41" s="76"/>
      <c r="J41" s="76"/>
      <c r="K41" s="1"/>
      <c r="L41" s="1"/>
      <c r="M41" s="1"/>
      <c r="N41" s="1"/>
      <c r="O41" s="1"/>
      <c r="P41" s="1"/>
      <c r="Q41" s="1"/>
      <c r="R41" s="1"/>
      <c r="S41" s="1"/>
      <c r="T41" s="1"/>
      <c r="U41" s="1"/>
      <c r="V41" s="1"/>
      <c r="W41" s="1"/>
      <c r="X41" s="1"/>
      <c r="Y41" s="1"/>
      <c r="Z41" s="1"/>
    </row>
    <row r="42" spans="1:26" ht="15.75" customHeight="1" x14ac:dyDescent="0.2">
      <c r="A42" s="76"/>
      <c r="B42" s="76"/>
      <c r="C42" s="76"/>
      <c r="D42" s="76"/>
      <c r="E42" s="76"/>
      <c r="F42" s="76"/>
      <c r="G42" s="76"/>
      <c r="H42" s="76"/>
      <c r="I42" s="76"/>
      <c r="J42" s="76"/>
      <c r="K42" s="1"/>
      <c r="L42" s="1"/>
      <c r="M42" s="1"/>
      <c r="N42" s="1"/>
      <c r="O42" s="1"/>
      <c r="P42" s="1"/>
      <c r="Q42" s="1"/>
      <c r="R42" s="1"/>
      <c r="S42" s="1"/>
      <c r="T42" s="1"/>
      <c r="U42" s="1"/>
      <c r="V42" s="1"/>
      <c r="W42" s="1"/>
      <c r="X42" s="1"/>
      <c r="Y42" s="1"/>
      <c r="Z42" s="1"/>
    </row>
    <row r="43" spans="1:26" ht="15.75" customHeight="1" x14ac:dyDescent="0.2">
      <c r="A43" s="2"/>
      <c r="B43" s="2"/>
      <c r="C43" s="2"/>
      <c r="D43" s="2"/>
      <c r="E43" s="2"/>
      <c r="F43" s="2"/>
      <c r="G43" s="2"/>
      <c r="H43" s="2"/>
      <c r="I43" s="2"/>
      <c r="J43" s="2"/>
      <c r="K43" s="1"/>
      <c r="L43" s="1"/>
      <c r="M43" s="1"/>
      <c r="N43" s="1"/>
      <c r="O43" s="1"/>
      <c r="P43" s="1"/>
      <c r="Q43" s="1"/>
      <c r="R43" s="1"/>
      <c r="S43" s="1"/>
      <c r="T43" s="1"/>
      <c r="U43" s="1"/>
      <c r="V43" s="1"/>
      <c r="W43" s="1"/>
      <c r="X43" s="1"/>
      <c r="Y43" s="1"/>
      <c r="Z43" s="1"/>
    </row>
    <row r="44" spans="1:26" ht="15.75" customHeight="1" x14ac:dyDescent="0.2">
      <c r="A44" s="8" t="s">
        <v>46</v>
      </c>
      <c r="B44" s="8" t="s">
        <v>47</v>
      </c>
      <c r="C44" s="8" t="s">
        <v>48</v>
      </c>
      <c r="D44" s="7"/>
      <c r="E44" s="7"/>
      <c r="F44" s="8" t="s">
        <v>49</v>
      </c>
      <c r="G44" s="8" t="s">
        <v>50</v>
      </c>
      <c r="H44" s="2"/>
      <c r="I44" s="2"/>
      <c r="J44" s="2"/>
      <c r="K44" s="1"/>
      <c r="L44" s="1"/>
      <c r="M44" s="1"/>
      <c r="N44" s="1"/>
      <c r="O44" s="1"/>
      <c r="P44" s="1"/>
      <c r="Q44" s="1"/>
      <c r="R44" s="1"/>
      <c r="S44" s="1"/>
      <c r="T44" s="1"/>
      <c r="U44" s="1"/>
      <c r="V44" s="1"/>
      <c r="W44" s="1"/>
      <c r="X44" s="1"/>
      <c r="Y44" s="1"/>
      <c r="Z44" s="1"/>
    </row>
    <row r="45" spans="1:26" ht="15.75" customHeight="1" x14ac:dyDescent="0.2">
      <c r="A45" s="7" t="s">
        <v>51</v>
      </c>
      <c r="B45" s="20"/>
      <c r="C45" s="7" t="s">
        <v>52</v>
      </c>
      <c r="D45" s="7"/>
      <c r="E45" s="7"/>
      <c r="F45" s="7" t="s">
        <v>49</v>
      </c>
      <c r="G45" s="12">
        <f>$B$45*'Scoring Backend'!$C$4 + $B$47*'Scoring Backend'!$C$6 + $B$48*'Scoring Backend'!$C$7 + $B$49*'Scoring Backend'!$C$8</f>
        <v>0</v>
      </c>
      <c r="H45" s="2"/>
      <c r="I45" s="2"/>
      <c r="J45" s="2"/>
      <c r="K45" s="1"/>
      <c r="L45" s="1"/>
      <c r="M45" s="1"/>
      <c r="N45" s="1"/>
      <c r="O45" s="1"/>
      <c r="P45" s="1"/>
      <c r="Q45" s="1"/>
      <c r="R45" s="1"/>
      <c r="S45" s="1"/>
      <c r="T45" s="1"/>
      <c r="U45" s="1"/>
      <c r="V45" s="1"/>
      <c r="W45" s="1"/>
      <c r="X45" s="1"/>
      <c r="Y45" s="1"/>
      <c r="Z45" s="1"/>
    </row>
    <row r="46" spans="1:26" ht="15.75" customHeight="1" x14ac:dyDescent="0.2">
      <c r="A46" s="7" t="s">
        <v>53</v>
      </c>
      <c r="B46" s="20"/>
      <c r="C46" s="7" t="s">
        <v>54</v>
      </c>
      <c r="D46" s="7"/>
      <c r="E46" s="7"/>
      <c r="F46" s="7" t="s">
        <v>200</v>
      </c>
      <c r="G46" s="12">
        <f>$B$47*'Scoring Backend'!$G$4 + $B$48*'Scoring Backend'!$G$5 + $B$49*'Scoring Backend'!$G$6</f>
        <v>0</v>
      </c>
      <c r="H46" s="2"/>
      <c r="I46" s="2"/>
      <c r="J46" s="2"/>
      <c r="K46" s="1"/>
      <c r="L46" s="1"/>
      <c r="M46" s="1"/>
      <c r="N46" s="1"/>
      <c r="O46" s="1"/>
      <c r="P46" s="1"/>
      <c r="Q46" s="1"/>
      <c r="R46" s="1"/>
      <c r="S46" s="1"/>
      <c r="T46" s="1"/>
      <c r="U46" s="1"/>
      <c r="V46" s="1"/>
      <c r="W46" s="1"/>
      <c r="X46" s="1"/>
      <c r="Y46" s="1"/>
      <c r="Z46" s="1"/>
    </row>
    <row r="47" spans="1:26" ht="15.75" customHeight="1" x14ac:dyDescent="0.2">
      <c r="A47" s="7" t="s">
        <v>55</v>
      </c>
      <c r="B47" s="20"/>
      <c r="C47" s="7" t="s">
        <v>201</v>
      </c>
      <c r="D47" s="7"/>
      <c r="E47" s="7"/>
      <c r="F47" s="7" t="s">
        <v>202</v>
      </c>
      <c r="G47" s="12" t="str">
        <f>IF(COUNTA($B$45:$B$49)=0,"Status",IF($B$46&gt;=G46,"PASS","FAIL"))</f>
        <v>Status</v>
      </c>
      <c r="H47" s="2"/>
      <c r="I47" s="2"/>
      <c r="J47" s="2"/>
      <c r="K47" s="1"/>
      <c r="L47" s="1"/>
      <c r="M47" s="1"/>
      <c r="N47" s="1"/>
      <c r="O47" s="1"/>
      <c r="P47" s="1"/>
      <c r="Q47" s="1"/>
      <c r="R47" s="1"/>
      <c r="S47" s="1"/>
      <c r="T47" s="1"/>
      <c r="U47" s="1"/>
      <c r="V47" s="1"/>
      <c r="W47" s="1"/>
      <c r="X47" s="1"/>
      <c r="Y47" s="1"/>
      <c r="Z47" s="1"/>
    </row>
    <row r="48" spans="1:26" ht="15.75" customHeight="1" x14ac:dyDescent="0.2">
      <c r="A48" s="7" t="s">
        <v>56</v>
      </c>
      <c r="B48" s="20"/>
      <c r="C48" s="7" t="s">
        <v>203</v>
      </c>
      <c r="D48" s="7"/>
      <c r="E48" s="7"/>
      <c r="F48" s="7" t="s">
        <v>57</v>
      </c>
      <c r="G48" s="12" t="str">
        <f>IF(COUNTA($B$45:$B$49)=0,"Status",IF(G45&gt;='Scoring Backend'!$B$20,"PASS","FAIL"))</f>
        <v>Status</v>
      </c>
      <c r="H48" s="2"/>
      <c r="I48" s="2"/>
      <c r="J48" s="2"/>
      <c r="K48" s="1"/>
      <c r="L48" s="1"/>
      <c r="M48" s="1"/>
      <c r="N48" s="1"/>
      <c r="O48" s="1"/>
      <c r="P48" s="1"/>
      <c r="Q48" s="1"/>
      <c r="R48" s="1"/>
      <c r="S48" s="1"/>
      <c r="T48" s="1"/>
      <c r="U48" s="1"/>
      <c r="V48" s="1"/>
      <c r="W48" s="1"/>
      <c r="X48" s="1"/>
      <c r="Y48" s="1"/>
      <c r="Z48" s="1"/>
    </row>
    <row r="49" spans="1:26" ht="15.75" customHeight="1" x14ac:dyDescent="0.2">
      <c r="A49" s="7" t="s">
        <v>58</v>
      </c>
      <c r="B49" s="7"/>
      <c r="C49" s="7" t="s">
        <v>204</v>
      </c>
      <c r="D49" s="7"/>
      <c r="E49" s="7"/>
      <c r="F49" s="7" t="s">
        <v>59</v>
      </c>
      <c r="G49" s="12">
        <f>$B$45*'Scoring Backend'!$B$4 + $B$46*'Scoring Backend'!$B$5 + $B$47*'Scoring Backend'!$B$6 + $B$48*'Scoring Backend'!$B$7 + $B$49*'Scoring Backend'!$B$8</f>
        <v>0</v>
      </c>
      <c r="H49" s="2"/>
      <c r="I49" s="2"/>
      <c r="J49" s="2"/>
      <c r="K49" s="1"/>
      <c r="L49" s="1"/>
      <c r="M49" s="1"/>
      <c r="N49" s="1"/>
      <c r="O49" s="1"/>
      <c r="P49" s="1"/>
      <c r="Q49" s="1"/>
      <c r="R49" s="1"/>
      <c r="S49" s="1"/>
      <c r="T49" s="1"/>
      <c r="U49" s="1"/>
      <c r="V49" s="1"/>
      <c r="W49" s="1"/>
      <c r="X49" s="1"/>
      <c r="Y49" s="1"/>
      <c r="Z49" s="1"/>
    </row>
    <row r="50" spans="1:26" ht="15.75" customHeight="1" x14ac:dyDescent="0.2">
      <c r="A50" s="13" t="s">
        <v>60</v>
      </c>
      <c r="B50" s="14"/>
      <c r="C50" s="14"/>
      <c r="D50" s="7"/>
      <c r="E50" s="7"/>
      <c r="F50" s="15" t="s">
        <v>61</v>
      </c>
      <c r="G50" s="16" t="str">
        <f>IF(COUNT($B$45:$B$49)=0,"",IF(G45&lt;=0,"",'Scoring Backend'!$B$19/G45))</f>
        <v/>
      </c>
      <c r="H50" s="2"/>
      <c r="I50" s="2"/>
      <c r="J50" s="2"/>
      <c r="K50" s="1"/>
      <c r="L50" s="1"/>
      <c r="M50" s="1"/>
      <c r="N50" s="1"/>
      <c r="O50" s="1"/>
      <c r="P50" s="1"/>
      <c r="Q50" s="1"/>
      <c r="R50" s="1"/>
      <c r="S50" s="1"/>
      <c r="T50" s="1"/>
      <c r="U50" s="1"/>
      <c r="V50" s="1"/>
      <c r="W50" s="1"/>
      <c r="X50" s="1"/>
      <c r="Y50" s="1"/>
      <c r="Z50" s="1"/>
    </row>
    <row r="51" spans="1:26" ht="24" customHeight="1" x14ac:dyDescent="0.2">
      <c r="A51" s="17" t="str">
        <f>IF(COUNT($B$45:$B$49)=0,"",REPT("👷 ",MIN(N($B$45),12))&amp;IF(N($B$45)&gt;12,"+",""))</f>
        <v/>
      </c>
      <c r="B51" s="17" t="str">
        <f>IF(COUNT($B$45:$B$49)=0,"",REPT("🦺 ",MIN(N($B$46),12))&amp;IF(N($B$46)&gt;12,"+","")&amp;"  "&amp;REPT("🤖 ",MIN(SUM($B$47:$B$49),12))&amp;IF(SUM($B$47:$B$49)&gt;12,"+",""))</f>
        <v/>
      </c>
      <c r="C51" s="14" t="str">
        <f>IF(COUNT($B$45:$B$49)=0,"","Material Workers: "&amp;N($B$45)&amp;" | Support Workers: "&amp;N($B$46)&amp;" | Robots/Fleets: "&amp;SUM($B$47:$B$49))</f>
        <v/>
      </c>
      <c r="D51" s="7"/>
      <c r="E51" s="7"/>
      <c r="F51" s="15" t="s">
        <v>62</v>
      </c>
      <c r="G51" s="18" t="str">
        <f>IF(COUNT($B$45:$B$49)=0,"Status",IF(AND(ISNUMBER(G50),G50&lt;='Scoring Backend'!$B$18),"ON TRACK","DELAY RISK"))</f>
        <v>Status</v>
      </c>
      <c r="H51" s="2"/>
      <c r="I51" s="2"/>
      <c r="J51" s="2"/>
      <c r="K51" s="1"/>
      <c r="L51" s="1"/>
      <c r="M51" s="1"/>
      <c r="N51" s="1"/>
      <c r="O51" s="1"/>
      <c r="P51" s="1"/>
      <c r="Q51" s="1"/>
      <c r="R51" s="1"/>
      <c r="S51" s="1"/>
      <c r="T51" s="1"/>
      <c r="U51" s="1"/>
      <c r="V51" s="1"/>
      <c r="W51" s="1"/>
      <c r="X51" s="1"/>
      <c r="Y51" s="1"/>
      <c r="Z51" s="1"/>
    </row>
    <row r="52" spans="1:26" ht="15.75" customHeight="1" x14ac:dyDescent="0.2">
      <c r="A52" s="8" t="s">
        <v>63</v>
      </c>
      <c r="B52" s="8"/>
      <c r="C52" s="8"/>
      <c r="D52" s="7"/>
      <c r="E52" s="7"/>
      <c r="F52" s="15" t="s">
        <v>64</v>
      </c>
      <c r="G52" s="19" t="str">
        <f>IF(COUNT($B$45:$B$49)=0,"",REPT("█",ROUND(MIN(1,G45/'Scoring Backend'!$B$20)*20,0))&amp;REPT("░",20-ROUND(MIN(1,G45/'Scoring Backend'!$B$20)*20,0))&amp;" "&amp;TEXT(G45/'Scoring Backend'!$B$20,"0%"))</f>
        <v/>
      </c>
      <c r="H52" s="2"/>
      <c r="I52" s="2"/>
      <c r="J52" s="2"/>
      <c r="K52" s="1"/>
      <c r="L52" s="1"/>
      <c r="M52" s="1"/>
      <c r="N52" s="1"/>
      <c r="O52" s="1"/>
      <c r="P52" s="1"/>
      <c r="Q52" s="1"/>
      <c r="R52" s="1"/>
      <c r="S52" s="1"/>
      <c r="T52" s="1"/>
      <c r="U52" s="1"/>
      <c r="V52" s="1"/>
      <c r="W52" s="1"/>
      <c r="X52" s="1"/>
      <c r="Y52" s="1"/>
      <c r="Z52" s="1"/>
    </row>
    <row r="53" spans="1:26" ht="15.75" customHeight="1" x14ac:dyDescent="0.2">
      <c r="A53" s="7"/>
      <c r="B53" s="81"/>
      <c r="C53" s="76"/>
      <c r="D53" s="2"/>
      <c r="E53" s="2"/>
      <c r="F53" s="2"/>
      <c r="G53" s="2"/>
      <c r="H53" s="2"/>
      <c r="I53" s="2"/>
      <c r="J53" s="2"/>
      <c r="K53" s="1"/>
      <c r="L53" s="1"/>
      <c r="M53" s="1"/>
      <c r="N53" s="1"/>
      <c r="O53" s="1"/>
      <c r="P53" s="1"/>
      <c r="Q53" s="1"/>
      <c r="R53" s="1"/>
      <c r="S53" s="1"/>
      <c r="T53" s="1"/>
      <c r="U53" s="1"/>
      <c r="V53" s="1"/>
      <c r="W53" s="1"/>
      <c r="X53" s="1"/>
      <c r="Y53" s="1"/>
      <c r="Z53" s="1"/>
    </row>
    <row r="54" spans="1:26" ht="31.5" customHeight="1" x14ac:dyDescent="0.2">
      <c r="A54" s="7"/>
      <c r="B54" s="81"/>
      <c r="C54" s="76"/>
      <c r="D54" s="2"/>
      <c r="E54" s="2"/>
      <c r="F54" s="2"/>
      <c r="G54" s="2"/>
      <c r="H54" s="2"/>
      <c r="I54" s="2"/>
      <c r="J54" s="2"/>
      <c r="K54" s="1"/>
      <c r="L54" s="1"/>
      <c r="M54" s="1"/>
      <c r="N54" s="1"/>
      <c r="O54" s="1"/>
      <c r="P54" s="1"/>
      <c r="Q54" s="1"/>
      <c r="R54" s="1"/>
      <c r="S54" s="1"/>
      <c r="T54" s="1"/>
      <c r="U54" s="1"/>
      <c r="V54" s="1"/>
      <c r="W54" s="1"/>
      <c r="X54" s="1"/>
      <c r="Y54" s="1"/>
      <c r="Z54" s="1"/>
    </row>
    <row r="55" spans="1:26" ht="15.75" customHeight="1" x14ac:dyDescent="0.2">
      <c r="A55" s="7"/>
      <c r="B55" s="81"/>
      <c r="C55" s="76"/>
      <c r="D55" s="2"/>
      <c r="E55" s="2"/>
      <c r="F55" s="2"/>
      <c r="G55" s="2"/>
      <c r="H55" s="2"/>
      <c r="I55" s="2"/>
      <c r="J55" s="2"/>
      <c r="K55" s="1"/>
      <c r="L55" s="1"/>
      <c r="M55" s="1"/>
      <c r="N55" s="1"/>
      <c r="O55" s="1"/>
      <c r="P55" s="1"/>
      <c r="Q55" s="1"/>
      <c r="R55" s="1"/>
      <c r="S55" s="1"/>
      <c r="T55" s="1"/>
      <c r="U55" s="1"/>
      <c r="V55" s="1"/>
      <c r="W55" s="1"/>
      <c r="X55" s="1"/>
      <c r="Y55" s="1"/>
      <c r="Z55" s="1"/>
    </row>
    <row r="56" spans="1:26" ht="31.5" customHeight="1" x14ac:dyDescent="0.2">
      <c r="A56" s="7" t="s">
        <v>65</v>
      </c>
      <c r="B56" s="7" t="s">
        <v>66</v>
      </c>
      <c r="C56" s="7"/>
      <c r="D56" s="2"/>
      <c r="E56" s="2"/>
      <c r="F56" s="2"/>
      <c r="G56" s="2"/>
      <c r="H56" s="2"/>
      <c r="I56" s="2"/>
      <c r="J56" s="2"/>
      <c r="K56" s="1"/>
      <c r="L56" s="1"/>
      <c r="M56" s="1"/>
      <c r="N56" s="1"/>
      <c r="O56" s="1"/>
      <c r="P56" s="1"/>
      <c r="Q56" s="1"/>
      <c r="R56" s="1"/>
      <c r="S56" s="1"/>
      <c r="T56" s="1"/>
      <c r="U56" s="1"/>
      <c r="V56" s="1"/>
      <c r="W56" s="1"/>
      <c r="X56" s="1"/>
      <c r="Y56" s="1"/>
      <c r="Z56" s="1"/>
    </row>
    <row r="57" spans="1:26" ht="15.75" customHeight="1" x14ac:dyDescent="0.2">
      <c r="A57" s="2"/>
      <c r="B57" s="2"/>
      <c r="C57" s="2"/>
      <c r="D57" s="2"/>
      <c r="E57" s="2"/>
      <c r="F57" s="2"/>
      <c r="G57" s="2"/>
      <c r="H57" s="2"/>
      <c r="I57" s="2"/>
      <c r="J57" s="2"/>
      <c r="K57" s="1"/>
      <c r="L57" s="1"/>
      <c r="M57" s="1"/>
      <c r="N57" s="1"/>
      <c r="O57" s="1"/>
      <c r="P57" s="1"/>
      <c r="Q57" s="1"/>
      <c r="R57" s="1"/>
      <c r="S57" s="1"/>
      <c r="T57" s="1"/>
      <c r="U57" s="1"/>
      <c r="V57" s="1"/>
      <c r="W57" s="1"/>
      <c r="X57" s="1"/>
      <c r="Y57" s="1"/>
      <c r="Z57" s="1"/>
    </row>
    <row r="58" spans="1:26" ht="15.75" customHeight="1" x14ac:dyDescent="0.2">
      <c r="A58" s="2"/>
      <c r="B58" s="2"/>
      <c r="C58" s="2"/>
      <c r="D58" s="2"/>
      <c r="E58" s="2"/>
      <c r="F58" s="2"/>
      <c r="G58" s="2"/>
      <c r="H58" s="2"/>
      <c r="I58" s="2"/>
      <c r="J58" s="2"/>
      <c r="K58" s="1"/>
      <c r="L58" s="1"/>
      <c r="M58" s="1"/>
      <c r="N58" s="1"/>
      <c r="O58" s="1"/>
      <c r="P58" s="1"/>
      <c r="Q58" s="1"/>
      <c r="R58" s="1"/>
      <c r="S58" s="1"/>
      <c r="T58" s="1"/>
      <c r="U58" s="1"/>
      <c r="V58" s="1"/>
      <c r="W58" s="1"/>
      <c r="X58" s="1"/>
      <c r="Y58" s="1"/>
      <c r="Z58" s="1"/>
    </row>
    <row r="59" spans="1:26" ht="15.75" customHeight="1" x14ac:dyDescent="0.2">
      <c r="A59" s="79" t="s">
        <v>67</v>
      </c>
      <c r="B59" s="76"/>
      <c r="C59" s="76"/>
      <c r="D59" s="76"/>
      <c r="E59" s="76"/>
      <c r="F59" s="76"/>
      <c r="G59" s="76"/>
      <c r="H59" s="76"/>
      <c r="I59" s="76"/>
      <c r="J59" s="76"/>
      <c r="K59" s="1"/>
      <c r="L59" s="1"/>
      <c r="M59" s="1"/>
      <c r="N59" s="1"/>
      <c r="O59" s="1"/>
      <c r="P59" s="1"/>
      <c r="Q59" s="1"/>
      <c r="R59" s="1"/>
      <c r="S59" s="1"/>
      <c r="T59" s="1"/>
      <c r="U59" s="1"/>
      <c r="V59" s="1"/>
      <c r="W59" s="1"/>
      <c r="X59" s="1"/>
      <c r="Y59" s="1"/>
      <c r="Z59" s="1"/>
    </row>
    <row r="60" spans="1:26" ht="24" customHeight="1" x14ac:dyDescent="0.2">
      <c r="A60" s="80" t="s">
        <v>68</v>
      </c>
      <c r="B60" s="76"/>
      <c r="C60" s="76"/>
      <c r="D60" s="76"/>
      <c r="E60" s="76"/>
      <c r="F60" s="76"/>
      <c r="G60" s="76"/>
      <c r="H60" s="76"/>
      <c r="I60" s="76"/>
      <c r="J60" s="76"/>
      <c r="K60" s="1"/>
      <c r="L60" s="1"/>
      <c r="M60" s="1"/>
      <c r="N60" s="1"/>
      <c r="O60" s="1"/>
      <c r="P60" s="1"/>
      <c r="Q60" s="1"/>
      <c r="R60" s="1"/>
      <c r="S60" s="1"/>
      <c r="T60" s="1"/>
      <c r="U60" s="1"/>
      <c r="V60" s="1"/>
      <c r="W60" s="1"/>
      <c r="X60" s="1"/>
      <c r="Y60" s="1"/>
      <c r="Z60" s="1"/>
    </row>
    <row r="61" spans="1:26" ht="24" customHeight="1" x14ac:dyDescent="0.2">
      <c r="A61" s="76"/>
      <c r="B61" s="76"/>
      <c r="C61" s="76"/>
      <c r="D61" s="76"/>
      <c r="E61" s="76"/>
      <c r="F61" s="76"/>
      <c r="G61" s="76"/>
      <c r="H61" s="76"/>
      <c r="I61" s="76"/>
      <c r="J61" s="76"/>
      <c r="K61" s="1"/>
      <c r="L61" s="1"/>
      <c r="M61" s="1"/>
      <c r="N61" s="1"/>
      <c r="O61" s="1"/>
      <c r="P61" s="1"/>
      <c r="Q61" s="1"/>
      <c r="R61" s="1"/>
      <c r="S61" s="1"/>
      <c r="T61" s="1"/>
      <c r="U61" s="1"/>
      <c r="V61" s="1"/>
      <c r="W61" s="1"/>
      <c r="X61" s="1"/>
      <c r="Y61" s="1"/>
      <c r="Z61" s="1"/>
    </row>
    <row r="62" spans="1:26" ht="24" customHeight="1" x14ac:dyDescent="0.2">
      <c r="A62" s="76"/>
      <c r="B62" s="76"/>
      <c r="C62" s="76"/>
      <c r="D62" s="76"/>
      <c r="E62" s="76"/>
      <c r="F62" s="76"/>
      <c r="G62" s="76"/>
      <c r="H62" s="76"/>
      <c r="I62" s="76"/>
      <c r="J62" s="76"/>
      <c r="K62" s="1"/>
      <c r="L62" s="1"/>
      <c r="M62" s="1"/>
      <c r="N62" s="1"/>
      <c r="O62" s="1"/>
      <c r="P62" s="1"/>
      <c r="Q62" s="1"/>
      <c r="R62" s="1"/>
      <c r="S62" s="1"/>
      <c r="T62" s="1"/>
      <c r="U62" s="1"/>
      <c r="V62" s="1"/>
      <c r="W62" s="1"/>
      <c r="X62" s="1"/>
      <c r="Y62" s="1"/>
      <c r="Z62" s="1"/>
    </row>
    <row r="63" spans="1:26" ht="24" customHeight="1" x14ac:dyDescent="0.2">
      <c r="A63" s="76"/>
      <c r="B63" s="76"/>
      <c r="C63" s="76"/>
      <c r="D63" s="76"/>
      <c r="E63" s="76"/>
      <c r="F63" s="76"/>
      <c r="G63" s="76"/>
      <c r="H63" s="76"/>
      <c r="I63" s="76"/>
      <c r="J63" s="76"/>
      <c r="K63" s="1"/>
      <c r="L63" s="1"/>
      <c r="M63" s="1"/>
      <c r="N63" s="1"/>
      <c r="O63" s="1"/>
      <c r="P63" s="1"/>
      <c r="Q63" s="1"/>
      <c r="R63" s="1"/>
      <c r="S63" s="1"/>
      <c r="T63" s="1"/>
      <c r="U63" s="1"/>
      <c r="V63" s="1"/>
      <c r="W63" s="1"/>
      <c r="X63" s="1"/>
      <c r="Y63" s="1"/>
      <c r="Z63" s="1"/>
    </row>
    <row r="64" spans="1:26" ht="15.75" customHeight="1" x14ac:dyDescent="0.2">
      <c r="A64" s="2"/>
      <c r="B64" s="2"/>
      <c r="C64" s="2"/>
      <c r="D64" s="2"/>
      <c r="E64" s="2"/>
      <c r="F64" s="2"/>
      <c r="G64" s="2"/>
      <c r="H64" s="2"/>
      <c r="I64" s="2"/>
      <c r="J64" s="2"/>
      <c r="K64" s="1"/>
      <c r="L64" s="1"/>
      <c r="M64" s="1"/>
      <c r="N64" s="1"/>
      <c r="O64" s="1"/>
      <c r="P64" s="1"/>
      <c r="Q64" s="1"/>
      <c r="R64" s="1"/>
      <c r="S64" s="1"/>
      <c r="T64" s="1"/>
      <c r="U64" s="1"/>
      <c r="V64" s="1"/>
      <c r="W64" s="1"/>
      <c r="X64" s="1"/>
      <c r="Y64" s="1"/>
      <c r="Z64" s="1"/>
    </row>
    <row r="65" spans="1:26" ht="31.5" customHeight="1" x14ac:dyDescent="0.2">
      <c r="A65" s="21" t="s">
        <v>69</v>
      </c>
      <c r="B65" s="21" t="s">
        <v>32</v>
      </c>
      <c r="C65" s="21" t="s">
        <v>72</v>
      </c>
      <c r="D65" s="21" t="s">
        <v>71</v>
      </c>
      <c r="E65" s="21" t="s">
        <v>70</v>
      </c>
      <c r="F65" s="6" t="s">
        <v>73</v>
      </c>
      <c r="G65" s="6" t="s">
        <v>74</v>
      </c>
      <c r="H65" s="2"/>
      <c r="I65" s="2"/>
      <c r="J65" s="2"/>
      <c r="K65" s="1"/>
      <c r="L65" s="1"/>
      <c r="M65" s="1"/>
      <c r="N65" s="1"/>
      <c r="O65" s="1"/>
      <c r="P65" s="1"/>
      <c r="Q65" s="1"/>
      <c r="R65" s="1"/>
      <c r="S65" s="1"/>
      <c r="T65" s="1"/>
      <c r="U65" s="1"/>
      <c r="V65" s="1"/>
      <c r="W65" s="1"/>
      <c r="X65" s="1"/>
      <c r="Y65" s="1"/>
      <c r="Z65" s="1"/>
    </row>
    <row r="66" spans="1:26" ht="15.75" customHeight="1" x14ac:dyDescent="0.2">
      <c r="A66" s="22" t="s">
        <v>75</v>
      </c>
      <c r="B66" s="7" t="str">
        <f>'Scoring Backend'!$B$12</f>
        <v>Human-Led</v>
      </c>
      <c r="C66" s="56">
        <v>0.4</v>
      </c>
      <c r="D66" s="56">
        <v>0.3</v>
      </c>
      <c r="E66" s="56">
        <v>0.3</v>
      </c>
      <c r="F66" s="7" t="s">
        <v>76</v>
      </c>
      <c r="G66" s="7" t="s">
        <v>77</v>
      </c>
      <c r="H66" s="2"/>
      <c r="I66" s="2"/>
      <c r="J66" s="2"/>
      <c r="K66" s="1"/>
      <c r="L66" s="1"/>
      <c r="M66" s="1"/>
      <c r="N66" s="1"/>
      <c r="O66" s="1"/>
      <c r="P66" s="1"/>
      <c r="Q66" s="1"/>
      <c r="R66" s="1"/>
      <c r="S66" s="1"/>
      <c r="T66" s="1"/>
      <c r="U66" s="1"/>
      <c r="V66" s="1"/>
      <c r="W66" s="1"/>
      <c r="X66" s="1"/>
      <c r="Y66" s="1"/>
      <c r="Z66" s="1"/>
    </row>
    <row r="67" spans="1:26" ht="15.75" customHeight="1" x14ac:dyDescent="0.2">
      <c r="A67" s="22" t="s">
        <v>78</v>
      </c>
      <c r="B67" s="57">
        <f>'Scoring Backend'!$B$13</f>
        <v>0.4</v>
      </c>
      <c r="C67" s="56">
        <v>0.3</v>
      </c>
      <c r="D67" s="56">
        <v>0.4</v>
      </c>
      <c r="E67" s="56">
        <v>0.3</v>
      </c>
      <c r="F67" s="7"/>
      <c r="G67" s="7"/>
      <c r="H67" s="2"/>
      <c r="I67" s="2"/>
      <c r="J67" s="2"/>
      <c r="K67" s="1"/>
      <c r="L67" s="1"/>
      <c r="M67" s="1"/>
      <c r="N67" s="1"/>
      <c r="O67" s="1"/>
      <c r="P67" s="1"/>
      <c r="Q67" s="1"/>
      <c r="R67" s="1"/>
      <c r="S67" s="1"/>
      <c r="T67" s="1"/>
      <c r="U67" s="1"/>
      <c r="V67" s="1"/>
      <c r="W67" s="1"/>
      <c r="X67" s="1"/>
      <c r="Y67" s="1"/>
      <c r="Z67" s="1"/>
    </row>
    <row r="68" spans="1:26" ht="15.75" customHeight="1" x14ac:dyDescent="0.2">
      <c r="A68" s="22" t="s">
        <v>79</v>
      </c>
      <c r="B68" s="57">
        <f>'Scoring Backend'!$B$14</f>
        <v>0.3</v>
      </c>
      <c r="C68" s="56">
        <v>0.3</v>
      </c>
      <c r="D68" s="56">
        <v>0.3</v>
      </c>
      <c r="E68" s="56">
        <v>0.4</v>
      </c>
      <c r="F68" s="7"/>
      <c r="G68" s="7"/>
      <c r="H68" s="2"/>
      <c r="I68" s="2"/>
      <c r="J68" s="2"/>
      <c r="K68" s="1"/>
      <c r="L68" s="1"/>
      <c r="M68" s="1"/>
      <c r="N68" s="1"/>
      <c r="O68" s="1"/>
      <c r="P68" s="1"/>
      <c r="Q68" s="1"/>
      <c r="R68" s="1"/>
      <c r="S68" s="1"/>
      <c r="T68" s="1"/>
      <c r="U68" s="1"/>
      <c r="V68" s="1"/>
      <c r="W68" s="1"/>
      <c r="X68" s="1"/>
      <c r="Y68" s="1"/>
      <c r="Z68" s="1"/>
    </row>
    <row r="69" spans="1:26" ht="48" customHeight="1" x14ac:dyDescent="0.2">
      <c r="A69" s="7" t="s">
        <v>80</v>
      </c>
      <c r="B69" s="81"/>
      <c r="C69" s="76"/>
      <c r="D69" s="76"/>
      <c r="E69" s="76"/>
      <c r="F69" s="7" t="s">
        <v>81</v>
      </c>
      <c r="G69" s="24" t="s">
        <v>82</v>
      </c>
      <c r="H69" s="2"/>
      <c r="I69" s="2"/>
      <c r="J69" s="2"/>
      <c r="K69" s="1"/>
      <c r="L69" s="1"/>
      <c r="M69" s="1"/>
      <c r="N69" s="1"/>
      <c r="O69" s="1"/>
      <c r="P69" s="1"/>
      <c r="Q69" s="1"/>
      <c r="R69" s="1"/>
      <c r="S69" s="1"/>
      <c r="T69" s="1"/>
      <c r="U69" s="1"/>
      <c r="V69" s="1"/>
      <c r="W69" s="1"/>
      <c r="X69" s="1"/>
      <c r="Y69" s="1"/>
      <c r="Z69" s="1"/>
    </row>
    <row r="70" spans="1:26" ht="15.75" customHeight="1" x14ac:dyDescent="0.2">
      <c r="A70" s="2"/>
      <c r="B70" s="2"/>
      <c r="C70" s="2"/>
      <c r="D70" s="2"/>
      <c r="E70" s="2"/>
      <c r="F70" s="2"/>
      <c r="G70" s="2"/>
      <c r="H70" s="2"/>
      <c r="I70" s="2"/>
      <c r="J70" s="2"/>
      <c r="K70" s="1"/>
      <c r="L70" s="1"/>
      <c r="M70" s="1"/>
      <c r="N70" s="1"/>
      <c r="O70" s="1"/>
      <c r="P70" s="1"/>
      <c r="Q70" s="1"/>
      <c r="R70" s="1"/>
      <c r="S70" s="1"/>
      <c r="T70" s="1"/>
      <c r="U70" s="1"/>
      <c r="V70" s="1"/>
      <c r="W70" s="1"/>
      <c r="X70" s="1"/>
      <c r="Y70" s="1"/>
      <c r="Z70" s="1"/>
    </row>
    <row r="71" spans="1:26" ht="15.75" customHeight="1" x14ac:dyDescent="0.2">
      <c r="A71" s="2"/>
      <c r="B71" s="2"/>
      <c r="C71" s="2"/>
      <c r="D71" s="2"/>
      <c r="E71" s="2"/>
      <c r="F71" s="2"/>
      <c r="G71" s="2"/>
      <c r="H71" s="2"/>
      <c r="I71" s="2"/>
      <c r="J71" s="2"/>
      <c r="K71" s="1"/>
      <c r="L71" s="1"/>
      <c r="M71" s="1"/>
      <c r="N71" s="1"/>
      <c r="O71" s="1"/>
      <c r="P71" s="1"/>
      <c r="Q71" s="1"/>
      <c r="R71" s="1"/>
      <c r="S71" s="1"/>
      <c r="T71" s="1"/>
      <c r="U71" s="1"/>
      <c r="V71" s="1"/>
      <c r="W71" s="1"/>
      <c r="X71" s="1"/>
      <c r="Y71" s="1"/>
      <c r="Z71" s="1"/>
    </row>
    <row r="72" spans="1:26" ht="15.75" customHeight="1" x14ac:dyDescent="0.2">
      <c r="A72" s="8" t="s">
        <v>83</v>
      </c>
      <c r="B72" s="8" t="s">
        <v>47</v>
      </c>
      <c r="C72" s="8" t="s">
        <v>48</v>
      </c>
      <c r="D72" s="8" t="s">
        <v>75</v>
      </c>
      <c r="E72" s="8" t="s">
        <v>78</v>
      </c>
      <c r="F72" s="8" t="s">
        <v>79</v>
      </c>
      <c r="G72" s="8" t="s">
        <v>84</v>
      </c>
      <c r="H72" s="7"/>
      <c r="I72" s="8" t="s">
        <v>85</v>
      </c>
      <c r="J72" s="8" t="s">
        <v>86</v>
      </c>
      <c r="K72" s="1"/>
      <c r="L72" s="1"/>
      <c r="M72" s="1"/>
      <c r="N72" s="1"/>
      <c r="O72" s="1"/>
      <c r="P72" s="1"/>
      <c r="Q72" s="1"/>
      <c r="R72" s="1"/>
      <c r="S72" s="1"/>
      <c r="T72" s="1"/>
      <c r="U72" s="1"/>
      <c r="V72" s="1"/>
      <c r="W72" s="1"/>
      <c r="X72" s="1"/>
      <c r="Y72" s="1"/>
      <c r="Z72" s="1"/>
    </row>
    <row r="73" spans="1:26" ht="15.75" customHeight="1" x14ac:dyDescent="0.2">
      <c r="A73" s="7" t="s">
        <v>51</v>
      </c>
      <c r="B73" s="20"/>
      <c r="C73" s="7" t="s">
        <v>52</v>
      </c>
      <c r="D73" s="7">
        <v>0</v>
      </c>
      <c r="E73" s="7">
        <v>0</v>
      </c>
      <c r="F73" s="7">
        <v>0</v>
      </c>
      <c r="G73" s="12">
        <f>$B$73*'Scoring Backend'!$B$4</f>
        <v>0</v>
      </c>
      <c r="H73" s="7"/>
      <c r="I73" s="7"/>
      <c r="J73" s="12"/>
      <c r="K73" s="1"/>
      <c r="L73" s="1"/>
      <c r="M73" s="1"/>
      <c r="N73" s="1"/>
      <c r="O73" s="1"/>
      <c r="P73" s="1"/>
      <c r="Q73" s="1"/>
      <c r="R73" s="1"/>
      <c r="S73" s="1"/>
      <c r="T73" s="1"/>
      <c r="U73" s="1"/>
      <c r="V73" s="1"/>
      <c r="W73" s="1"/>
      <c r="X73" s="1"/>
      <c r="Y73" s="1"/>
      <c r="Z73" s="1"/>
    </row>
    <row r="74" spans="1:26" ht="15.75" customHeight="1" x14ac:dyDescent="0.2">
      <c r="A74" s="7" t="s">
        <v>53</v>
      </c>
      <c r="B74" s="20"/>
      <c r="C74" s="7" t="s">
        <v>54</v>
      </c>
      <c r="D74" s="7">
        <v>0</v>
      </c>
      <c r="E74" s="7">
        <v>0</v>
      </c>
      <c r="F74" s="7">
        <v>0</v>
      </c>
      <c r="G74" s="12">
        <f>$B$74*'Scoring Backend'!$B$5</f>
        <v>0</v>
      </c>
      <c r="H74" s="7"/>
      <c r="I74" s="7" t="s">
        <v>87</v>
      </c>
      <c r="J74" s="12">
        <f>$B$73*'Scoring Backend'!$C$4 + $B$75*'Scoring Backend'!$C$6 + $B$76*'Scoring Backend'!$C$7 + $B$77*'Scoring Backend'!$C$8</f>
        <v>0</v>
      </c>
      <c r="K74" s="1"/>
      <c r="L74" s="1"/>
      <c r="M74" s="1"/>
      <c r="N74" s="1"/>
      <c r="O74" s="1"/>
      <c r="P74" s="1"/>
      <c r="Q74" s="1"/>
      <c r="R74" s="1"/>
      <c r="S74" s="1"/>
      <c r="T74" s="1"/>
      <c r="U74" s="1"/>
      <c r="V74" s="1"/>
      <c r="W74" s="1"/>
      <c r="X74" s="1"/>
      <c r="Y74" s="1"/>
      <c r="Z74" s="1"/>
    </row>
    <row r="75" spans="1:26" ht="15.75" customHeight="1" x14ac:dyDescent="0.2">
      <c r="A75" s="7" t="s">
        <v>55</v>
      </c>
      <c r="B75" s="20"/>
      <c r="C75" s="7" t="s">
        <v>201</v>
      </c>
      <c r="D75" s="7">
        <f>'Scoring Backend'!$H$12</f>
        <v>5</v>
      </c>
      <c r="E75" s="7">
        <f>'Scoring Backend'!$I$12</f>
        <v>5</v>
      </c>
      <c r="F75" s="7">
        <f>'Scoring Backend'!$J$12</f>
        <v>8</v>
      </c>
      <c r="G75" s="12">
        <f>$B$75*'Scoring Backend'!$B$6</f>
        <v>0</v>
      </c>
      <c r="H75" s="7"/>
      <c r="I75" s="7" t="s">
        <v>200</v>
      </c>
      <c r="J75" s="12">
        <f>$B$75*'Scoring Backend'!$G$4 + $B$76*'Scoring Backend'!$G$5 + $B$77*'Scoring Backend'!$G$6</f>
        <v>0</v>
      </c>
      <c r="K75" s="1"/>
      <c r="L75" s="1"/>
      <c r="M75" s="1"/>
      <c r="N75" s="1"/>
      <c r="O75" s="1"/>
      <c r="P75" s="1"/>
      <c r="Q75" s="1"/>
      <c r="R75" s="1"/>
      <c r="S75" s="1"/>
      <c r="T75" s="1"/>
      <c r="U75" s="1"/>
      <c r="V75" s="1"/>
      <c r="W75" s="1"/>
      <c r="X75" s="1"/>
      <c r="Y75" s="1"/>
      <c r="Z75" s="1"/>
    </row>
    <row r="76" spans="1:26" ht="15.75" customHeight="1" x14ac:dyDescent="0.2">
      <c r="A76" s="7" t="s">
        <v>56</v>
      </c>
      <c r="B76" s="20"/>
      <c r="C76" s="7" t="s">
        <v>203</v>
      </c>
      <c r="D76" s="7">
        <f>'Scoring Backend'!$H$13</f>
        <v>10</v>
      </c>
      <c r="E76" s="7">
        <f>'Scoring Backend'!$I$13</f>
        <v>10</v>
      </c>
      <c r="F76" s="7">
        <f>'Scoring Backend'!$J$13</f>
        <v>12</v>
      </c>
      <c r="G76" s="12">
        <f>$B$76*'Scoring Backend'!$B$7</f>
        <v>0</v>
      </c>
      <c r="H76" s="7"/>
      <c r="I76" s="7" t="s">
        <v>202</v>
      </c>
      <c r="J76" s="12" t="str">
        <f>IF(COUNTA($B$69,$B$73:$B$77)=0,"Status",IF($B$74&gt;=J75,"PASS","FAIL"))</f>
        <v>Status</v>
      </c>
      <c r="K76" s="1"/>
      <c r="L76" s="1"/>
      <c r="M76" s="1"/>
      <c r="N76" s="1"/>
      <c r="O76" s="1"/>
      <c r="P76" s="1"/>
      <c r="Q76" s="1"/>
      <c r="R76" s="1"/>
      <c r="S76" s="1"/>
      <c r="T76" s="1"/>
      <c r="U76" s="1"/>
      <c r="V76" s="1"/>
      <c r="W76" s="1"/>
      <c r="X76" s="1"/>
      <c r="Y76" s="1"/>
      <c r="Z76" s="1"/>
    </row>
    <row r="77" spans="1:26" ht="15.75" customHeight="1" x14ac:dyDescent="0.2">
      <c r="A77" s="7" t="s">
        <v>58</v>
      </c>
      <c r="B77" s="7"/>
      <c r="C77" s="7" t="s">
        <v>204</v>
      </c>
      <c r="D77" s="7">
        <f>'Scoring Backend'!$H$14</f>
        <v>18</v>
      </c>
      <c r="E77" s="7">
        <f>'Scoring Backend'!$I$14</f>
        <v>8</v>
      </c>
      <c r="F77" s="7">
        <f>'Scoring Backend'!$J$14</f>
        <v>18</v>
      </c>
      <c r="G77" s="7">
        <f>$B$77*'Scoring Backend'!$B$8</f>
        <v>0</v>
      </c>
      <c r="H77" s="7"/>
      <c r="I77" s="7" t="s">
        <v>57</v>
      </c>
      <c r="J77" s="12" t="str">
        <f>IF(COUNTA($B$69,$B$73:$B$77)=0,"Status",IF(J74&gt;='Scoring Backend'!$B$20,"PASS","FAIL"))</f>
        <v>Status</v>
      </c>
      <c r="K77" s="1"/>
      <c r="L77" s="1"/>
      <c r="M77" s="1"/>
      <c r="N77" s="1"/>
      <c r="O77" s="1"/>
      <c r="P77" s="1"/>
      <c r="Q77" s="1"/>
      <c r="R77" s="1"/>
      <c r="S77" s="1"/>
      <c r="T77" s="1"/>
      <c r="U77" s="1"/>
      <c r="V77" s="1"/>
      <c r="W77" s="1"/>
      <c r="X77" s="1"/>
      <c r="Y77" s="1"/>
      <c r="Z77" s="1"/>
    </row>
    <row r="78" spans="1:26" ht="15.75" customHeight="1" x14ac:dyDescent="0.2">
      <c r="A78" s="7" t="s">
        <v>88</v>
      </c>
      <c r="B78" s="7"/>
      <c r="C78" s="7"/>
      <c r="D78" s="7"/>
      <c r="E78" s="7"/>
      <c r="F78" s="7"/>
      <c r="G78" s="7"/>
      <c r="H78" s="7"/>
      <c r="I78" s="7" t="s">
        <v>59</v>
      </c>
      <c r="J78" s="12">
        <f>SUM(G73:G77)</f>
        <v>0</v>
      </c>
      <c r="K78" s="1"/>
      <c r="L78" s="1"/>
      <c r="M78" s="1"/>
      <c r="N78" s="1"/>
      <c r="O78" s="1"/>
      <c r="P78" s="1"/>
      <c r="Q78" s="1"/>
      <c r="R78" s="1"/>
      <c r="S78" s="1"/>
      <c r="T78" s="1"/>
      <c r="U78" s="1"/>
      <c r="V78" s="1"/>
      <c r="W78" s="1"/>
      <c r="X78" s="1"/>
      <c r="Y78" s="1"/>
      <c r="Z78" s="1"/>
    </row>
    <row r="79" spans="1:26" ht="15.75" customHeight="1" x14ac:dyDescent="0.2">
      <c r="A79" s="26"/>
      <c r="B79" s="26"/>
      <c r="C79" s="26"/>
      <c r="D79" s="26"/>
      <c r="E79" s="26"/>
      <c r="F79" s="7"/>
      <c r="G79" s="7"/>
      <c r="H79" s="7"/>
      <c r="I79" s="7" t="s">
        <v>75</v>
      </c>
      <c r="J79" s="12" t="str">
        <f>IF(COUNTA($B$69,$B$73:$B$77)=0,"",MIN(100,'Scoring Backend'!$B$22+SUMPRODUCT($B$73:$B$77,$D$73:$D$77)))</f>
        <v/>
      </c>
      <c r="K79" s="1"/>
      <c r="L79" s="1"/>
      <c r="M79" s="1"/>
      <c r="N79" s="1"/>
      <c r="O79" s="1"/>
      <c r="P79" s="1"/>
      <c r="Q79" s="1"/>
      <c r="R79" s="1"/>
      <c r="S79" s="1"/>
      <c r="T79" s="1"/>
      <c r="U79" s="1"/>
      <c r="V79" s="1"/>
      <c r="W79" s="1"/>
      <c r="X79" s="1"/>
      <c r="Y79" s="1"/>
      <c r="Z79" s="1"/>
    </row>
    <row r="80" spans="1:26" ht="15.75" customHeight="1" x14ac:dyDescent="0.2">
      <c r="A80" s="26"/>
      <c r="B80" s="26"/>
      <c r="C80" s="26"/>
      <c r="D80" s="26"/>
      <c r="E80" s="26"/>
      <c r="F80" s="7"/>
      <c r="G80" s="7"/>
      <c r="H80" s="7"/>
      <c r="I80" s="7" t="s">
        <v>78</v>
      </c>
      <c r="J80" s="12" t="str">
        <f>IF(COUNTA($B$69,$B$73:$B$77)=0,"",MIN(100,'Scoring Backend'!$B$23+SUMPRODUCT($B$73:$B$77,$E$73:$E$77)))</f>
        <v/>
      </c>
      <c r="K80" s="1"/>
      <c r="L80" s="1"/>
      <c r="M80" s="1"/>
      <c r="N80" s="1"/>
      <c r="O80" s="1"/>
      <c r="P80" s="1"/>
      <c r="Q80" s="1"/>
      <c r="R80" s="1"/>
      <c r="S80" s="1"/>
      <c r="T80" s="1"/>
      <c r="U80" s="1"/>
      <c r="V80" s="1"/>
      <c r="W80" s="1"/>
      <c r="X80" s="1"/>
      <c r="Y80" s="1"/>
      <c r="Z80" s="1"/>
    </row>
    <row r="81" spans="1:26" ht="15.75" customHeight="1" x14ac:dyDescent="0.2">
      <c r="A81" s="26"/>
      <c r="B81" s="26"/>
      <c r="C81" s="26"/>
      <c r="D81" s="26"/>
      <c r="E81" s="26"/>
      <c r="F81" s="7"/>
      <c r="G81" s="7"/>
      <c r="H81" s="7"/>
      <c r="I81" s="7" t="s">
        <v>89</v>
      </c>
      <c r="J81" s="12" t="str">
        <f>IF(COUNTA($B$69,$B$73:$B$77)=0,"",MIN(100,'Scoring Backend'!$B$24+SUMPRODUCT($B$73:$B$77,$F$73:$F$77)))</f>
        <v/>
      </c>
      <c r="K81" s="1"/>
      <c r="L81" s="1"/>
      <c r="M81" s="1"/>
      <c r="N81" s="1"/>
      <c r="O81" s="1"/>
      <c r="P81" s="1"/>
      <c r="Q81" s="1"/>
      <c r="R81" s="1"/>
      <c r="S81" s="1"/>
      <c r="T81" s="1"/>
      <c r="U81" s="1"/>
      <c r="V81" s="1"/>
      <c r="W81" s="1"/>
      <c r="X81" s="1"/>
      <c r="Y81" s="1"/>
      <c r="Z81" s="1"/>
    </row>
    <row r="82" spans="1:26" ht="15.75" customHeight="1" x14ac:dyDescent="0.2">
      <c r="A82" s="7"/>
      <c r="B82" s="7"/>
      <c r="C82" s="7"/>
      <c r="D82" s="7"/>
      <c r="E82" s="7"/>
      <c r="F82" s="7"/>
      <c r="G82" s="7"/>
      <c r="H82" s="7"/>
      <c r="I82" s="7" t="s">
        <v>76</v>
      </c>
      <c r="J82" s="28" t="str">
        <f t="array" ref="J82">IF(OR($B$69="",COUNT($B$73:$B$77)=0),"",MAX(0,SUMPRODUCT($J$79:$J$81,INDEX($C$66:$E$68,0,MATCH($B$69,$C$65:$E$65,0)))-IF($J$89="Aligned",0,'Scoring Backend'!$G$26)))</f>
        <v/>
      </c>
      <c r="K82" s="1"/>
      <c r="L82" s="1"/>
      <c r="M82" s="1"/>
      <c r="N82" s="1"/>
      <c r="O82" s="1"/>
      <c r="P82" s="1"/>
      <c r="Q82" s="1"/>
      <c r="R82" s="1"/>
      <c r="S82" s="1"/>
      <c r="T82" s="1"/>
      <c r="U82" s="1"/>
      <c r="V82" s="1"/>
      <c r="W82" s="1"/>
      <c r="X82" s="1"/>
      <c r="Y82" s="1"/>
      <c r="Z82" s="1"/>
    </row>
    <row r="83" spans="1:26" ht="15.75" customHeight="1" x14ac:dyDescent="0.2">
      <c r="A83" s="7"/>
      <c r="B83" s="7"/>
      <c r="C83" s="7"/>
      <c r="D83" s="7"/>
      <c r="E83" s="7"/>
      <c r="F83" s="7"/>
      <c r="G83" s="7"/>
      <c r="H83" s="7"/>
      <c r="I83" s="7"/>
      <c r="J83" s="12"/>
      <c r="K83" s="1"/>
      <c r="L83" s="1"/>
      <c r="M83" s="1"/>
      <c r="N83" s="1"/>
      <c r="O83" s="1"/>
      <c r="P83" s="1"/>
      <c r="Q83" s="1"/>
      <c r="R83" s="1"/>
      <c r="S83" s="1"/>
      <c r="T83" s="1"/>
      <c r="U83" s="1"/>
      <c r="V83" s="1"/>
      <c r="W83" s="1"/>
      <c r="X83" s="1"/>
      <c r="Y83" s="1"/>
      <c r="Z83" s="1"/>
    </row>
    <row r="84" spans="1:26" ht="15.75" customHeight="1" x14ac:dyDescent="0.2">
      <c r="A84" s="7"/>
      <c r="B84" s="7"/>
      <c r="C84" s="7"/>
      <c r="D84" s="7"/>
      <c r="E84" s="7"/>
      <c r="F84" s="7"/>
      <c r="G84" s="7"/>
      <c r="H84" s="7"/>
      <c r="I84" s="29" t="s">
        <v>90</v>
      </c>
      <c r="J84" s="30" t="str">
        <f>IF(COUNT($B$73:$B$77)=0,"",IF(J74&lt;=0,"",'Scoring Backend'!$B$19/J74))</f>
        <v/>
      </c>
      <c r="K84" s="1"/>
      <c r="L84" s="1"/>
      <c r="M84" s="1"/>
      <c r="N84" s="1"/>
      <c r="O84" s="1"/>
      <c r="P84" s="1"/>
      <c r="Q84" s="1"/>
      <c r="R84" s="1"/>
      <c r="S84" s="1"/>
      <c r="T84" s="1"/>
      <c r="U84" s="1"/>
      <c r="V84" s="1"/>
      <c r="W84" s="1"/>
      <c r="X84" s="1"/>
      <c r="Y84" s="1"/>
      <c r="Z84" s="1"/>
    </row>
    <row r="85" spans="1:26" ht="15.75" customHeight="1" x14ac:dyDescent="0.2">
      <c r="A85" s="13" t="s">
        <v>60</v>
      </c>
      <c r="B85" s="14"/>
      <c r="C85" s="14"/>
      <c r="D85" s="7"/>
      <c r="E85" s="7"/>
      <c r="F85" s="7"/>
      <c r="G85" s="7"/>
      <c r="H85" s="7"/>
      <c r="I85" s="29" t="s">
        <v>64</v>
      </c>
      <c r="J85" s="29" t="str">
        <f>IF(COUNT($B$73:$B$77)=0,"",REPT("█",ROUND(MIN(1,J74/'Scoring Backend'!$B$20)*20,0))&amp;REPT("░",20-ROUND(MIN(1,J74/'Scoring Backend'!$B$20)*20,0))&amp;" "&amp;TEXT(J74/'Scoring Backend'!$B$20,"0%"))</f>
        <v/>
      </c>
      <c r="K85" s="1"/>
      <c r="L85" s="1"/>
      <c r="M85" s="1"/>
      <c r="N85" s="1"/>
      <c r="O85" s="1"/>
      <c r="P85" s="1"/>
      <c r="Q85" s="1"/>
      <c r="R85" s="1"/>
      <c r="S85" s="1"/>
      <c r="T85" s="1"/>
      <c r="U85" s="1"/>
      <c r="V85" s="1"/>
      <c r="W85" s="1"/>
      <c r="X85" s="1"/>
      <c r="Y85" s="1"/>
      <c r="Z85" s="1"/>
    </row>
    <row r="86" spans="1:26" ht="24" customHeight="1" x14ac:dyDescent="0.2">
      <c r="A86" s="17" t="str">
        <f>IF(COUNT($B$73:$B$77)=0,"",REPT("👷 ",MIN(N($B$73),12))&amp;IF(N($B$73)&gt;12,"+",""))</f>
        <v/>
      </c>
      <c r="B86" s="17" t="str">
        <f>IF(COUNT($B$73:$B$77)=0,"",REPT("🦺 ",MIN(N($B$74),12))&amp;IF(N($B$74)&gt;12,"+","")&amp;"  "&amp;REPT("🤖 ",MIN(SUM($B$75:$B$77),12))&amp;IF(SUM($B$75:$B$77)&gt;12,"+",""))</f>
        <v/>
      </c>
      <c r="C86" s="14" t="str">
        <f>IF(COUNT($B$73:$B$77)=0,"","Material Workers: "&amp;N($B$73)&amp;" | Support Workers: "&amp;N($B$74)&amp;" | Robots/Fleets: "&amp;SUM($B$75:$B$77))</f>
        <v/>
      </c>
      <c r="D86" s="7"/>
      <c r="E86" s="7"/>
      <c r="F86" s="7"/>
      <c r="G86" s="7"/>
      <c r="H86" s="7"/>
      <c r="I86" s="29" t="s">
        <v>91</v>
      </c>
      <c r="J86" s="31" t="str">
        <f>IF(COUNT($B$73:$B$77)=0,"",SUM($B$75:$B$77)/SUM($B$73:$B$77))</f>
        <v/>
      </c>
      <c r="K86" s="1"/>
      <c r="L86" s="1"/>
      <c r="M86" s="1"/>
      <c r="N86" s="1"/>
      <c r="O86" s="1"/>
      <c r="P86" s="1"/>
      <c r="Q86" s="1"/>
      <c r="R86" s="1"/>
      <c r="S86" s="1"/>
      <c r="T86" s="1"/>
      <c r="U86" s="1"/>
      <c r="V86" s="1"/>
      <c r="W86" s="1"/>
      <c r="X86" s="1"/>
      <c r="Y86" s="1"/>
      <c r="Z86" s="1"/>
    </row>
    <row r="87" spans="1:26" ht="15.75" customHeight="1" x14ac:dyDescent="0.2">
      <c r="A87" s="7"/>
      <c r="B87" s="7"/>
      <c r="C87" s="7"/>
      <c r="D87" s="7"/>
      <c r="E87" s="7"/>
      <c r="F87" s="7"/>
      <c r="G87" s="7"/>
      <c r="H87" s="7"/>
      <c r="I87" s="29" t="s">
        <v>92</v>
      </c>
      <c r="J87" s="32" t="str">
        <f>IF(COUNT($B$73:$B$77)=0,"",IFERROR(($B$75*'Scoring Backend'!$C$6+$B$76*'Scoring Backend'!$C$7+$B$77*'Scoring Backend'!$C$8)/J74,0))</f>
        <v/>
      </c>
      <c r="K87" s="1"/>
      <c r="L87" s="1"/>
      <c r="M87" s="1"/>
      <c r="N87" s="1"/>
      <c r="O87" s="1"/>
      <c r="P87" s="1"/>
      <c r="Q87" s="1"/>
      <c r="R87" s="1"/>
      <c r="S87" s="1"/>
      <c r="T87" s="1"/>
      <c r="U87" s="1"/>
      <c r="V87" s="1"/>
      <c r="W87" s="1"/>
      <c r="X87" s="1"/>
      <c r="Y87" s="1"/>
      <c r="Z87" s="1"/>
    </row>
    <row r="88" spans="1:26" ht="15.75" customHeight="1" x14ac:dyDescent="0.2">
      <c r="A88" s="7"/>
      <c r="B88" s="7"/>
      <c r="C88" s="7"/>
      <c r="D88" s="7"/>
      <c r="E88" s="7"/>
      <c r="F88" s="7"/>
      <c r="G88" s="7"/>
      <c r="H88" s="7"/>
      <c r="I88" s="29" t="s">
        <v>93</v>
      </c>
      <c r="J88" s="32" t="str">
        <f>IF(COUNT($B$73:$B$77)=0,"",IF(J74=0,"",IF(J87&lt;'Scoring Backend'!$G$22,"Human-Led",IF(J87&lt;='Scoring Backend'!$G$24,"Collaborative","Robot-Led"))))</f>
        <v/>
      </c>
      <c r="K88" s="1"/>
      <c r="L88" s="1"/>
      <c r="M88" s="1"/>
      <c r="N88" s="1"/>
      <c r="O88" s="1"/>
      <c r="P88" s="1"/>
      <c r="Q88" s="1"/>
      <c r="R88" s="1"/>
      <c r="S88" s="1"/>
      <c r="T88" s="1"/>
      <c r="U88" s="1"/>
      <c r="V88" s="1"/>
      <c r="W88" s="1"/>
      <c r="X88" s="1"/>
      <c r="Y88" s="1"/>
      <c r="Z88" s="1"/>
    </row>
    <row r="89" spans="1:26" ht="15.75" customHeight="1" x14ac:dyDescent="0.2">
      <c r="A89" s="7"/>
      <c r="B89" s="7"/>
      <c r="C89" s="7"/>
      <c r="D89" s="7"/>
      <c r="E89" s="7"/>
      <c r="F89" s="7"/>
      <c r="G89" s="7"/>
      <c r="H89" s="7"/>
      <c r="I89" s="29" t="s">
        <v>94</v>
      </c>
      <c r="J89" s="32" t="str">
        <f>IF(OR($B$69="",J88=""),"",IF($B$69=J88,"Aligned","Misaligned (-10 final score penalty)"))</f>
        <v/>
      </c>
      <c r="K89" s="1"/>
      <c r="L89" s="1"/>
      <c r="M89" s="1"/>
      <c r="N89" s="1"/>
      <c r="O89" s="1"/>
      <c r="P89" s="1"/>
      <c r="Q89" s="1"/>
      <c r="R89" s="1"/>
      <c r="S89" s="1"/>
      <c r="T89" s="1"/>
      <c r="U89" s="1"/>
      <c r="V89" s="1"/>
      <c r="W89" s="1"/>
      <c r="X89" s="1"/>
      <c r="Y89" s="1"/>
      <c r="Z89" s="1"/>
    </row>
    <row r="90" spans="1:26" ht="21.75" customHeight="1" x14ac:dyDescent="0.2">
      <c r="A90" s="2"/>
      <c r="B90" s="2"/>
      <c r="C90" s="2"/>
      <c r="D90" s="2"/>
      <c r="E90" s="2"/>
      <c r="F90" s="2"/>
      <c r="G90" s="2"/>
      <c r="H90" s="2"/>
      <c r="I90" s="83" t="s">
        <v>95</v>
      </c>
      <c r="J90" s="84"/>
      <c r="K90" s="84"/>
      <c r="L90" s="85"/>
      <c r="M90" s="1"/>
      <c r="N90" s="1"/>
      <c r="O90" s="1"/>
      <c r="P90" s="1"/>
      <c r="Q90" s="1"/>
      <c r="R90" s="1"/>
      <c r="S90" s="1"/>
      <c r="T90" s="1"/>
      <c r="U90" s="1"/>
      <c r="V90" s="1"/>
      <c r="W90" s="1"/>
      <c r="X90" s="1"/>
      <c r="Y90" s="1"/>
      <c r="Z90" s="1"/>
    </row>
    <row r="91" spans="1:26" ht="24" customHeight="1" x14ac:dyDescent="0.2">
      <c r="A91" s="2"/>
      <c r="B91" s="2"/>
      <c r="C91" s="2"/>
      <c r="D91" s="2"/>
      <c r="E91" s="2"/>
      <c r="F91" s="2"/>
      <c r="G91" s="2"/>
      <c r="H91" s="2"/>
      <c r="I91" s="33" t="s">
        <v>96</v>
      </c>
      <c r="J91" s="33" t="s">
        <v>97</v>
      </c>
      <c r="K91" s="33" t="s">
        <v>98</v>
      </c>
      <c r="L91" s="33" t="s">
        <v>99</v>
      </c>
      <c r="M91" s="1"/>
      <c r="N91" s="1"/>
      <c r="O91" s="1"/>
      <c r="P91" s="1"/>
      <c r="Q91" s="1"/>
      <c r="R91" s="1"/>
      <c r="S91" s="1"/>
      <c r="T91" s="1"/>
      <c r="U91" s="1"/>
      <c r="V91" s="1"/>
      <c r="W91" s="1"/>
      <c r="X91" s="1"/>
      <c r="Y91" s="1"/>
      <c r="Z91" s="1"/>
    </row>
    <row r="92" spans="1:26" ht="24" customHeight="1" x14ac:dyDescent="0.2">
      <c r="A92" s="2"/>
      <c r="B92" s="2"/>
      <c r="C92" s="2"/>
      <c r="D92" s="2"/>
      <c r="E92" s="2"/>
      <c r="F92" s="2"/>
      <c r="G92" s="2"/>
      <c r="H92" s="2"/>
      <c r="I92" s="34" t="s">
        <v>33</v>
      </c>
      <c r="J92" s="35" t="str">
        <f>IF(COUNT($B$73:$B$77)=0,"",$J$74)</f>
        <v/>
      </c>
      <c r="K92" s="36" t="str">
        <f>"&gt;= "&amp;'Scoring Backend'!$B$20&amp;" loads/day"</f>
        <v>&gt;= 20 loads/day</v>
      </c>
      <c r="L92" s="34" t="str">
        <f>IF(COUNTA($B$69,$B$73:$B$77)=0,"",IF($J$74&gt;='Scoring Backend'!$B$20,"PASS","FAIL"))</f>
        <v/>
      </c>
      <c r="M92" s="1"/>
      <c r="N92" s="1"/>
      <c r="O92" s="1"/>
      <c r="P92" s="1"/>
      <c r="Q92" s="1"/>
      <c r="R92" s="1"/>
      <c r="S92" s="1"/>
      <c r="T92" s="1"/>
      <c r="U92" s="1"/>
      <c r="V92" s="1"/>
      <c r="W92" s="1"/>
      <c r="X92" s="1"/>
      <c r="Y92" s="1"/>
      <c r="Z92" s="1"/>
    </row>
    <row r="93" spans="1:26" ht="24" customHeight="1" x14ac:dyDescent="0.2">
      <c r="A93" s="5" t="s">
        <v>100</v>
      </c>
      <c r="B93" s="1"/>
      <c r="C93" s="1"/>
      <c r="D93" s="1"/>
      <c r="E93" s="1"/>
      <c r="F93" s="1"/>
      <c r="G93" s="1"/>
      <c r="H93" s="1"/>
      <c r="I93" s="34" t="s">
        <v>101</v>
      </c>
      <c r="J93" s="37" t="str">
        <f>IF(COUNT($B$73:$B$77)=0,"",$J$78)</f>
        <v/>
      </c>
      <c r="K93" s="36" t="str">
        <f>"&lt;= "&amp;'Scoring Backend'!$G$18</f>
        <v>&lt;= 200</v>
      </c>
      <c r="L93" s="34" t="str">
        <f>IF(COUNTA($B$69,$B$73:$B$77)=0,"",IF($J$78&lt;='Scoring Backend'!$G$18,"PASS","FAIL"))</f>
        <v/>
      </c>
      <c r="M93" s="1"/>
      <c r="N93" s="1"/>
      <c r="O93" s="1"/>
      <c r="P93" s="1"/>
      <c r="Q93" s="1"/>
      <c r="R93" s="1"/>
      <c r="S93" s="1"/>
      <c r="T93" s="1"/>
      <c r="U93" s="1"/>
      <c r="V93" s="1"/>
      <c r="W93" s="1"/>
      <c r="X93" s="1"/>
      <c r="Y93" s="1"/>
      <c r="Z93" s="1"/>
    </row>
    <row r="94" spans="1:26" ht="24" customHeight="1" x14ac:dyDescent="0.2">
      <c r="A94" s="6" t="s">
        <v>102</v>
      </c>
      <c r="B94" s="6" t="s">
        <v>103</v>
      </c>
      <c r="C94" s="2"/>
      <c r="D94" s="2"/>
      <c r="E94" s="2"/>
      <c r="F94" s="2"/>
      <c r="G94" s="2"/>
      <c r="H94" s="2"/>
      <c r="I94" s="38" t="s">
        <v>75</v>
      </c>
      <c r="J94" s="39" t="str">
        <f>IF(COUNT($B$73:$B$77)=0,"",$J$79)</f>
        <v/>
      </c>
      <c r="K94" s="40" t="str">
        <f>"&gt;= "&amp;'Scoring Backend'!$G$20</f>
        <v>&gt;= 70</v>
      </c>
      <c r="L94" s="38" t="str">
        <f>IF(COUNTA($B$69,$B$73:$B$77)=0,"",IF($J$79&gt;='Scoring Backend'!$G$20,"PASS","FAIL"))</f>
        <v/>
      </c>
      <c r="M94" s="1"/>
      <c r="N94" s="1"/>
      <c r="O94" s="1"/>
      <c r="P94" s="1"/>
      <c r="Q94" s="1"/>
      <c r="R94" s="1"/>
      <c r="S94" s="1"/>
      <c r="T94" s="1"/>
      <c r="U94" s="1"/>
      <c r="V94" s="1"/>
      <c r="W94" s="1"/>
      <c r="X94" s="1"/>
      <c r="Y94" s="1"/>
      <c r="Z94" s="1"/>
    </row>
    <row r="95" spans="1:26" ht="24" customHeight="1" x14ac:dyDescent="0.2">
      <c r="A95" s="7" t="s">
        <v>104</v>
      </c>
      <c r="B95" s="7" t="s">
        <v>66</v>
      </c>
      <c r="C95" s="2"/>
      <c r="D95" s="2"/>
      <c r="E95" s="2"/>
      <c r="F95" s="2"/>
      <c r="G95" s="2"/>
      <c r="H95" s="2"/>
      <c r="I95" s="34" t="s">
        <v>78</v>
      </c>
      <c r="J95" s="37" t="str">
        <f>IF(COUNT($B$73:$B$77)=0,"",$J$80)</f>
        <v/>
      </c>
      <c r="K95" s="36" t="str">
        <f>"&gt;= "&amp;'Scoring Backend'!$G$19</f>
        <v>&gt;= 70</v>
      </c>
      <c r="L95" s="34" t="str">
        <f>IF(COUNTA($B$69,$B$73:$B$77)=0,"",IF($J$80&gt;='Scoring Backend'!$G$19,"PASS","FAIL"))</f>
        <v/>
      </c>
      <c r="M95" s="1"/>
      <c r="N95" s="1"/>
      <c r="O95" s="1"/>
      <c r="P95" s="1"/>
      <c r="Q95" s="1"/>
      <c r="R95" s="1"/>
      <c r="S95" s="1"/>
      <c r="T95" s="1"/>
      <c r="U95" s="1"/>
      <c r="V95" s="1"/>
      <c r="W95" s="1"/>
      <c r="X95" s="1"/>
      <c r="Y95" s="1"/>
      <c r="Z95" s="1"/>
    </row>
    <row r="96" spans="1:26" ht="24" customHeight="1" x14ac:dyDescent="0.2">
      <c r="A96" s="7" t="s">
        <v>105</v>
      </c>
      <c r="B96" s="7" t="s">
        <v>106</v>
      </c>
      <c r="C96" s="2"/>
      <c r="D96" s="2"/>
      <c r="E96" s="2"/>
      <c r="F96" s="2"/>
      <c r="G96" s="2"/>
      <c r="H96" s="2"/>
      <c r="I96" s="38" t="s">
        <v>89</v>
      </c>
      <c r="J96" s="39" t="str">
        <f>IF(COUNT($B$73:$B$77)=0,"",$J$81)</f>
        <v/>
      </c>
      <c r="K96" s="40" t="str">
        <f>"&gt;= "&amp;'Scoring Backend'!$G$21</f>
        <v>&gt;= 70</v>
      </c>
      <c r="L96" s="38" t="str">
        <f>IF(COUNTA($B$69,$B$73:$B$77)=0,"",IF($J$81&gt;='Scoring Backend'!$G$21,"PASS","FAIL"))</f>
        <v/>
      </c>
      <c r="M96" s="1"/>
      <c r="N96" s="1"/>
      <c r="O96" s="1"/>
      <c r="P96" s="1"/>
      <c r="Q96" s="1"/>
      <c r="R96" s="1"/>
      <c r="S96" s="1"/>
      <c r="T96" s="1"/>
      <c r="U96" s="1"/>
      <c r="V96" s="1"/>
      <c r="W96" s="1"/>
      <c r="X96" s="1"/>
      <c r="Y96" s="1"/>
      <c r="Z96" s="1"/>
    </row>
    <row r="97" spans="1:26" ht="27.75" customHeight="1" x14ac:dyDescent="0.2">
      <c r="A97" s="7" t="s">
        <v>107</v>
      </c>
      <c r="B97" s="7" t="s">
        <v>108</v>
      </c>
      <c r="C97" s="2"/>
      <c r="D97" s="2"/>
      <c r="E97" s="2"/>
      <c r="F97" s="2"/>
      <c r="G97" s="2"/>
      <c r="H97" s="2"/>
      <c r="I97" s="41" t="str">
        <f>IF(COUNTA($B$69,$B$73:$B$77)=0,"",IF(COUNTIF($L$92:$L$96,"FAIL")=0,"🟢 ELIGIBLE FOR FINAL COMPARISON","🔴 NOT ELIGIBLE - REVISE CONSTRAINTS"))</f>
        <v/>
      </c>
      <c r="J97" s="42"/>
      <c r="K97" s="42"/>
      <c r="L97" s="43"/>
      <c r="M97" s="1"/>
      <c r="N97" s="1"/>
      <c r="O97" s="1"/>
      <c r="P97" s="1"/>
      <c r="Q97" s="1"/>
      <c r="R97" s="1"/>
      <c r="S97" s="1"/>
      <c r="T97" s="1"/>
      <c r="U97" s="1"/>
      <c r="V97" s="1"/>
      <c r="W97" s="1"/>
      <c r="X97" s="1"/>
      <c r="Y97" s="1"/>
      <c r="Z97" s="1"/>
    </row>
    <row r="98" spans="1:26" ht="24" customHeight="1" x14ac:dyDescent="0.2">
      <c r="A98" s="2"/>
      <c r="B98" s="2"/>
      <c r="C98" s="2"/>
      <c r="D98" s="2"/>
      <c r="E98" s="2"/>
      <c r="F98" s="2"/>
      <c r="G98" s="2"/>
      <c r="H98" s="2"/>
      <c r="I98" s="86" t="s">
        <v>109</v>
      </c>
      <c r="J98" s="84"/>
      <c r="K98" s="84"/>
      <c r="L98" s="85"/>
      <c r="M98" s="1"/>
      <c r="N98" s="1"/>
      <c r="O98" s="1"/>
      <c r="P98" s="1"/>
      <c r="Q98" s="1"/>
      <c r="R98" s="1"/>
      <c r="S98" s="1"/>
      <c r="T98" s="1"/>
      <c r="U98" s="1"/>
      <c r="V98" s="1"/>
      <c r="W98" s="1"/>
      <c r="X98" s="1"/>
      <c r="Y98" s="1"/>
      <c r="Z98" s="1"/>
    </row>
    <row r="99" spans="1:26" ht="24" customHeight="1" x14ac:dyDescent="0.2">
      <c r="A99" s="2" t="s">
        <v>110</v>
      </c>
      <c r="B99" s="2"/>
      <c r="C99" s="2"/>
      <c r="D99" s="2"/>
      <c r="E99" s="2"/>
      <c r="F99" s="2"/>
      <c r="G99" s="2"/>
      <c r="H99" s="2"/>
      <c r="I99" s="87"/>
      <c r="J99" s="76"/>
      <c r="K99" s="76"/>
      <c r="L99" s="1"/>
      <c r="M99" s="1"/>
      <c r="N99" s="1"/>
      <c r="O99" s="1"/>
      <c r="P99" s="1"/>
      <c r="Q99" s="1"/>
      <c r="R99" s="1"/>
      <c r="S99" s="1"/>
      <c r="T99" s="1"/>
      <c r="U99" s="1"/>
      <c r="V99" s="1"/>
      <c r="W99" s="1"/>
      <c r="X99" s="1"/>
      <c r="Y99" s="1"/>
      <c r="Z99" s="1"/>
    </row>
    <row r="100" spans="1:26" ht="15.75" customHeight="1" x14ac:dyDescent="0.2">
      <c r="A100" s="5"/>
      <c r="B100" s="44"/>
      <c r="C100" s="44"/>
      <c r="D100" s="44"/>
      <c r="E100" s="44"/>
      <c r="F100" s="44"/>
      <c r="G100" s="44"/>
      <c r="H100" s="44"/>
      <c r="I100" s="44"/>
      <c r="J100" s="44"/>
      <c r="K100" s="1"/>
      <c r="L100" s="1"/>
      <c r="M100" s="1"/>
      <c r="N100" s="1"/>
      <c r="O100" s="1"/>
      <c r="P100" s="1"/>
      <c r="Q100" s="1"/>
      <c r="R100" s="1"/>
      <c r="S100" s="1"/>
      <c r="T100" s="1"/>
      <c r="U100" s="1"/>
      <c r="V100" s="1"/>
      <c r="W100" s="1"/>
      <c r="X100" s="1"/>
      <c r="Y100" s="1"/>
      <c r="Z100" s="1"/>
    </row>
    <row r="101" spans="1:26" ht="15.75" customHeight="1" x14ac:dyDescent="0.2">
      <c r="A101" s="88"/>
      <c r="B101" s="76"/>
      <c r="C101" s="76"/>
      <c r="D101" s="76"/>
      <c r="E101" s="76"/>
      <c r="F101" s="76"/>
      <c r="G101" s="76"/>
      <c r="H101" s="76"/>
      <c r="I101" s="76"/>
      <c r="J101" s="76"/>
      <c r="K101" s="1"/>
      <c r="L101" s="1"/>
      <c r="M101" s="1"/>
      <c r="N101" s="1"/>
      <c r="O101" s="1"/>
      <c r="P101" s="1"/>
      <c r="Q101" s="1"/>
      <c r="R101" s="1"/>
      <c r="S101" s="1"/>
      <c r="T101" s="1"/>
      <c r="U101" s="1"/>
      <c r="V101" s="1"/>
      <c r="W101" s="1"/>
      <c r="X101" s="1"/>
      <c r="Y101" s="1"/>
      <c r="Z101" s="1"/>
    </row>
    <row r="102" spans="1:26" ht="15.75" customHeight="1" x14ac:dyDescent="0.2">
      <c r="A102" s="7"/>
      <c r="B102" s="20"/>
      <c r="C102" s="2"/>
      <c r="D102" s="2"/>
      <c r="E102" s="2"/>
      <c r="F102" s="2"/>
      <c r="G102" s="2"/>
      <c r="H102" s="2"/>
      <c r="I102" s="2"/>
      <c r="J102" s="2"/>
      <c r="K102" s="1"/>
      <c r="L102" s="1"/>
      <c r="M102" s="1"/>
      <c r="N102" s="1"/>
      <c r="O102" s="1"/>
      <c r="P102" s="1"/>
      <c r="Q102" s="1"/>
      <c r="R102" s="1"/>
      <c r="S102" s="1"/>
      <c r="T102" s="1"/>
      <c r="U102" s="1"/>
      <c r="V102" s="1"/>
      <c r="W102" s="1"/>
      <c r="X102" s="1"/>
      <c r="Y102" s="1"/>
      <c r="Z102" s="1"/>
    </row>
    <row r="103" spans="1:26" ht="31.5" customHeight="1" x14ac:dyDescent="0.2">
      <c r="A103" s="7"/>
      <c r="B103" s="20"/>
      <c r="C103" s="2"/>
      <c r="D103" s="2"/>
      <c r="E103" s="2"/>
      <c r="F103" s="2"/>
      <c r="G103" s="2"/>
      <c r="H103" s="2"/>
      <c r="I103" s="2"/>
      <c r="J103" s="2"/>
      <c r="K103" s="1"/>
      <c r="L103" s="1"/>
      <c r="M103" s="1"/>
      <c r="N103" s="1"/>
      <c r="O103" s="1"/>
      <c r="P103" s="1"/>
      <c r="Q103" s="1"/>
      <c r="R103" s="1"/>
      <c r="S103" s="1"/>
      <c r="T103" s="1"/>
      <c r="U103" s="1"/>
      <c r="V103" s="1"/>
      <c r="W103" s="1"/>
      <c r="X103" s="1"/>
      <c r="Y103" s="1"/>
      <c r="Z103" s="1"/>
    </row>
    <row r="104" spans="1:26" ht="15.75" customHeight="1" x14ac:dyDescent="0.2">
      <c r="A104" s="7"/>
      <c r="B104" s="20"/>
      <c r="C104" s="2"/>
      <c r="D104" s="2"/>
      <c r="E104" s="2"/>
      <c r="F104" s="2"/>
      <c r="G104" s="2"/>
      <c r="H104" s="2"/>
      <c r="I104" s="2"/>
      <c r="J104" s="2"/>
      <c r="K104" s="1"/>
      <c r="L104" s="1"/>
      <c r="M104" s="1"/>
      <c r="N104" s="1"/>
      <c r="O104" s="1"/>
      <c r="P104" s="1"/>
      <c r="Q104" s="1"/>
      <c r="R104" s="1"/>
      <c r="S104" s="1"/>
      <c r="T104" s="1"/>
      <c r="U104" s="1"/>
      <c r="V104" s="1"/>
      <c r="W104" s="1"/>
      <c r="X104" s="1"/>
      <c r="Y104" s="1"/>
      <c r="Z104" s="1"/>
    </row>
    <row r="105" spans="1:26" ht="31.5" customHeight="1" x14ac:dyDescent="0.2">
      <c r="A105" s="7" t="s">
        <v>110</v>
      </c>
      <c r="B105" s="20"/>
      <c r="C105" s="2"/>
      <c r="D105" s="2"/>
      <c r="E105" s="2"/>
      <c r="F105" s="2"/>
      <c r="G105" s="2"/>
      <c r="H105" s="2"/>
      <c r="I105" s="2"/>
      <c r="J105" s="2"/>
      <c r="K105" s="1"/>
      <c r="L105" s="1"/>
      <c r="M105" s="1"/>
      <c r="N105" s="1"/>
      <c r="O105" s="1"/>
      <c r="P105" s="1"/>
      <c r="Q105" s="1"/>
      <c r="R105" s="1"/>
      <c r="S105" s="1"/>
      <c r="T105" s="1"/>
      <c r="U105" s="1"/>
      <c r="V105" s="1"/>
      <c r="W105" s="1"/>
      <c r="X105" s="1"/>
      <c r="Y105" s="1"/>
      <c r="Z105" s="1"/>
    </row>
    <row r="106" spans="1:26" ht="42" customHeight="1" x14ac:dyDescent="0.2">
      <c r="A106" s="2"/>
      <c r="B106" s="2"/>
      <c r="C106" s="2"/>
      <c r="D106" s="2"/>
      <c r="E106" s="2"/>
      <c r="F106" s="2"/>
      <c r="G106" s="2"/>
      <c r="H106" s="2"/>
      <c r="I106" s="2"/>
      <c r="J106" s="2"/>
      <c r="K106" s="1"/>
      <c r="L106" s="1"/>
      <c r="M106" s="1"/>
      <c r="N106" s="1"/>
      <c r="O106" s="1"/>
      <c r="P106" s="1"/>
      <c r="Q106" s="1"/>
      <c r="R106" s="1"/>
      <c r="S106" s="1"/>
      <c r="T106" s="1"/>
      <c r="U106" s="1"/>
      <c r="V106" s="1"/>
      <c r="W106" s="1"/>
      <c r="X106" s="1"/>
      <c r="Y106" s="1"/>
      <c r="Z106" s="1"/>
    </row>
    <row r="107" spans="1:26" ht="15.75" customHeight="1" x14ac:dyDescent="0.2">
      <c r="A107" s="2"/>
      <c r="B107" s="2"/>
      <c r="C107" s="2"/>
      <c r="D107" s="2"/>
      <c r="E107" s="2"/>
      <c r="F107" s="2"/>
      <c r="G107" s="2"/>
      <c r="H107" s="2"/>
      <c r="I107" s="2"/>
      <c r="J107" s="2"/>
      <c r="K107" s="1"/>
      <c r="L107" s="1"/>
      <c r="M107" s="1"/>
      <c r="N107" s="1"/>
      <c r="O107" s="1"/>
      <c r="P107" s="1"/>
      <c r="Q107" s="1"/>
      <c r="R107" s="1"/>
      <c r="S107" s="1"/>
      <c r="T107" s="1"/>
      <c r="U107" s="1"/>
      <c r="V107" s="1"/>
      <c r="W107" s="1"/>
      <c r="X107" s="1"/>
      <c r="Y107" s="1"/>
      <c r="Z107" s="1"/>
    </row>
    <row r="108" spans="1:26" ht="15.75" customHeight="1" x14ac:dyDescent="0.2">
      <c r="A108" s="45" t="s">
        <v>111</v>
      </c>
      <c r="B108" s="44"/>
      <c r="C108" s="44"/>
      <c r="D108" s="44"/>
      <c r="E108" s="44"/>
      <c r="F108" s="44"/>
      <c r="G108" s="44"/>
      <c r="H108" s="44"/>
      <c r="I108" s="44"/>
      <c r="J108" s="44"/>
      <c r="K108" s="1"/>
      <c r="L108" s="1"/>
      <c r="M108" s="1"/>
      <c r="N108" s="1"/>
      <c r="O108" s="1"/>
      <c r="P108" s="1"/>
      <c r="Q108" s="1"/>
      <c r="R108" s="1"/>
      <c r="S108" s="1"/>
      <c r="T108" s="1"/>
      <c r="U108" s="1"/>
      <c r="V108" s="1"/>
      <c r="W108" s="1"/>
      <c r="X108" s="1"/>
      <c r="Y108" s="1"/>
      <c r="Z108" s="1"/>
    </row>
    <row r="109" spans="1:26" ht="15.75" customHeight="1" x14ac:dyDescent="0.2">
      <c r="A109" s="89"/>
      <c r="B109" s="76"/>
      <c r="C109" s="76"/>
      <c r="D109" s="76"/>
      <c r="E109" s="76"/>
      <c r="F109" s="76"/>
      <c r="G109" s="76"/>
      <c r="H109" s="76"/>
      <c r="I109" s="76"/>
      <c r="J109" s="76"/>
      <c r="K109" s="1"/>
      <c r="L109" s="1"/>
      <c r="M109" s="1"/>
      <c r="N109" s="1"/>
      <c r="O109" s="1"/>
      <c r="P109" s="1"/>
      <c r="Q109" s="1"/>
      <c r="R109" s="1"/>
      <c r="S109" s="1"/>
      <c r="T109" s="1"/>
      <c r="U109" s="1"/>
      <c r="V109" s="1"/>
      <c r="W109" s="1"/>
      <c r="X109" s="1"/>
      <c r="Y109" s="1"/>
      <c r="Z109" s="1"/>
    </row>
    <row r="110" spans="1:26" ht="15.75" customHeight="1" x14ac:dyDescent="0.2">
      <c r="A110" s="76"/>
      <c r="B110" s="76"/>
      <c r="C110" s="76"/>
      <c r="D110" s="76"/>
      <c r="E110" s="76"/>
      <c r="F110" s="76"/>
      <c r="G110" s="76"/>
      <c r="H110" s="76"/>
      <c r="I110" s="76"/>
      <c r="J110" s="76"/>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I98:L98"/>
    <mergeCell ref="I99:K99"/>
    <mergeCell ref="A101:J101"/>
    <mergeCell ref="A109:J110"/>
    <mergeCell ref="A30:J30"/>
    <mergeCell ref="A40:J40"/>
    <mergeCell ref="A41:J42"/>
    <mergeCell ref="B53:C53"/>
    <mergeCell ref="B54:C54"/>
    <mergeCell ref="A59:J59"/>
    <mergeCell ref="A60:J63"/>
    <mergeCell ref="A17:F17"/>
    <mergeCell ref="A24:J24"/>
    <mergeCell ref="B55:C55"/>
    <mergeCell ref="B69:E69"/>
    <mergeCell ref="I90:L90"/>
    <mergeCell ref="A1:J1"/>
    <mergeCell ref="A2:J2"/>
    <mergeCell ref="A4:J4"/>
    <mergeCell ref="A11:J11"/>
    <mergeCell ref="A12:J15"/>
  </mergeCells>
  <conditionalFormatting sqref="I98:L98">
    <cfRule type="expression" dxfId="32" priority="1">
      <formula>ISNUMBER(SEARCH("NOT ELIGIBLE",$I$98))</formula>
    </cfRule>
    <cfRule type="expression" dxfId="31" priority="2">
      <formula>AND($I$98&lt;&gt;"",NOT(ISNUMBER(SEARCH("NOT ELIGIBLE",$I$98))))</formula>
    </cfRule>
  </conditionalFormatting>
  <conditionalFormatting sqref="L92:L97">
    <cfRule type="expression" dxfId="30" priority="3">
      <formula>L92="PASS"</formula>
    </cfRule>
    <cfRule type="expression" dxfId="29" priority="4">
      <formula>L92="FAIL"</formula>
    </cfRule>
  </conditionalFormatting>
  <dataValidations count="5">
    <dataValidation type="decimal" allowBlank="1" sqref="B45:B48 B73:B76" xr:uid="{00000000-0002-0000-0200-000000000000}">
      <formula1>0</formula1>
      <formula2>20</formula2>
    </dataValidation>
    <dataValidation type="list" allowBlank="1" sqref="B103" xr:uid="{00000000-0002-0000-0200-000001000000}">
      <formula1>"Architecture Lead,Robot Engineer,Cost Manager"</formula1>
    </dataValidation>
    <dataValidation type="list" allowBlank="1" sqref="B104" xr:uid="{00000000-0002-0000-0200-000002000000}">
      <formula1>"Cost vs Productivity,Cost vs Safety,Cost vs Manual Effort Reduction,Productivity vs Safety,Productivity vs Manual Effort Reduction,Safety vs Manual Effort Reduction"</formula1>
    </dataValidation>
    <dataValidation type="list" allowBlank="1" sqref="B105" xr:uid="{00000000-0002-0000-0200-000003000000}">
      <formula1>"More Robots,Fewer Robots,Improved Productivity,Improved Safety,Improved Manual Effort Reduction,Lower Cost,No Major Change"</formula1>
    </dataValidation>
    <dataValidation type="list" allowBlank="1" sqref="B69" xr:uid="{00000000-0002-0000-0200-000004000000}">
      <formula1>"Human-Led,Collaborative,Robot-Led"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baseColWidth="10" defaultColWidth="14.5" defaultRowHeight="15" x14ac:dyDescent="0.2"/>
  <cols>
    <col min="1" max="1" width="24" customWidth="1"/>
    <col min="2" max="2" width="18" customWidth="1"/>
    <col min="3" max="4" width="30" customWidth="1"/>
    <col min="5" max="5" width="18" customWidth="1"/>
    <col min="6" max="6" width="30" customWidth="1"/>
    <col min="7" max="7" width="19" customWidth="1"/>
    <col min="8" max="8" width="4" customWidth="1"/>
    <col min="9" max="9" width="30" customWidth="1"/>
    <col min="10" max="11" width="22" customWidth="1"/>
    <col min="12" max="12" width="16" customWidth="1"/>
    <col min="13" max="26" width="12.5" customWidth="1"/>
  </cols>
  <sheetData>
    <row r="1" spans="1:26" ht="24" customHeight="1" x14ac:dyDescent="0.3">
      <c r="A1" s="75" t="s">
        <v>0</v>
      </c>
      <c r="B1" s="76"/>
      <c r="C1" s="76"/>
      <c r="D1" s="76"/>
      <c r="E1" s="76"/>
      <c r="F1" s="76"/>
      <c r="G1" s="76"/>
      <c r="H1" s="76"/>
      <c r="I1" s="76"/>
      <c r="J1" s="76"/>
      <c r="K1" s="1"/>
      <c r="L1" s="1"/>
      <c r="M1" s="1"/>
      <c r="N1" s="1"/>
      <c r="O1" s="1"/>
      <c r="P1" s="1"/>
      <c r="Q1" s="1"/>
      <c r="R1" s="1"/>
      <c r="S1" s="1"/>
      <c r="T1" s="1"/>
      <c r="U1" s="1"/>
      <c r="V1" s="1"/>
      <c r="W1" s="1"/>
      <c r="X1" s="1"/>
      <c r="Y1" s="1"/>
      <c r="Z1" s="1"/>
    </row>
    <row r="2" spans="1:26" ht="18" customHeight="1" x14ac:dyDescent="0.25">
      <c r="A2" s="77" t="s">
        <v>1</v>
      </c>
      <c r="B2" s="76"/>
      <c r="C2" s="76"/>
      <c r="D2" s="76"/>
      <c r="E2" s="76"/>
      <c r="F2" s="76"/>
      <c r="G2" s="76"/>
      <c r="H2" s="76"/>
      <c r="I2" s="76"/>
      <c r="J2" s="76"/>
      <c r="K2" s="1"/>
      <c r="L2" s="1"/>
      <c r="M2" s="1"/>
      <c r="N2" s="1"/>
      <c r="O2" s="1"/>
      <c r="P2" s="1"/>
      <c r="Q2" s="1"/>
      <c r="R2" s="1"/>
      <c r="S2" s="1"/>
      <c r="T2" s="1"/>
      <c r="U2" s="1"/>
      <c r="V2" s="1"/>
      <c r="W2" s="1"/>
      <c r="X2" s="1"/>
      <c r="Y2" s="1"/>
      <c r="Z2" s="1"/>
    </row>
    <row r="3" spans="1:26" ht="15" customHeight="1" x14ac:dyDescent="0.2">
      <c r="A3" s="2"/>
      <c r="B3" s="2"/>
      <c r="C3" s="2"/>
      <c r="D3" s="2"/>
      <c r="E3" s="2"/>
      <c r="F3" s="2"/>
      <c r="G3" s="2"/>
      <c r="H3" s="2"/>
      <c r="I3" s="2"/>
      <c r="J3" s="2"/>
      <c r="K3" s="1"/>
      <c r="L3" s="1"/>
      <c r="M3" s="1"/>
      <c r="N3" s="1"/>
      <c r="O3" s="1"/>
      <c r="P3" s="1"/>
      <c r="Q3" s="1"/>
      <c r="R3" s="1"/>
      <c r="S3" s="1"/>
      <c r="T3" s="1"/>
      <c r="U3" s="1"/>
      <c r="V3" s="1"/>
      <c r="W3" s="1"/>
      <c r="X3" s="1"/>
      <c r="Y3" s="1"/>
      <c r="Z3" s="1"/>
    </row>
    <row r="4" spans="1:26" ht="18" customHeight="1" x14ac:dyDescent="0.25">
      <c r="A4" s="78" t="s">
        <v>161</v>
      </c>
      <c r="B4" s="76"/>
      <c r="C4" s="76"/>
      <c r="D4" s="76"/>
      <c r="E4" s="76"/>
      <c r="F4" s="76"/>
      <c r="G4" s="76"/>
      <c r="H4" s="76"/>
      <c r="I4" s="76"/>
      <c r="J4" s="76"/>
      <c r="K4" s="1"/>
      <c r="L4" s="1"/>
      <c r="M4" s="1"/>
      <c r="N4" s="1"/>
      <c r="O4" s="1"/>
      <c r="P4" s="1"/>
      <c r="Q4" s="1"/>
      <c r="R4" s="1"/>
      <c r="S4" s="1"/>
      <c r="T4" s="1"/>
      <c r="U4" s="1"/>
      <c r="V4" s="1"/>
      <c r="W4" s="1"/>
      <c r="X4" s="1"/>
      <c r="Y4" s="1"/>
      <c r="Z4" s="1"/>
    </row>
    <row r="5" spans="1:26" ht="15" customHeight="1" x14ac:dyDescent="0.2">
      <c r="A5" s="2"/>
      <c r="B5" s="2"/>
      <c r="C5" s="2"/>
      <c r="D5" s="2"/>
      <c r="E5" s="2"/>
      <c r="F5" s="2"/>
      <c r="G5" s="2"/>
      <c r="H5" s="2"/>
      <c r="I5" s="2"/>
      <c r="J5" s="2"/>
      <c r="K5" s="1"/>
      <c r="L5" s="1"/>
      <c r="M5" s="1"/>
      <c r="N5" s="1"/>
      <c r="O5" s="1"/>
      <c r="P5" s="1"/>
      <c r="Q5" s="1"/>
      <c r="R5" s="1"/>
      <c r="S5" s="1"/>
      <c r="T5" s="1"/>
      <c r="U5" s="1"/>
      <c r="V5" s="1"/>
      <c r="W5" s="1"/>
      <c r="X5" s="1"/>
      <c r="Y5" s="1"/>
      <c r="Z5" s="1"/>
    </row>
    <row r="6" spans="1:26" ht="15" customHeight="1" x14ac:dyDescent="0.2">
      <c r="A6" s="2" t="s">
        <v>3</v>
      </c>
      <c r="B6" s="3"/>
      <c r="C6" s="2"/>
      <c r="D6" s="2"/>
      <c r="E6" s="2"/>
      <c r="F6" s="2"/>
      <c r="G6" s="2"/>
      <c r="H6" s="2"/>
      <c r="I6" s="2"/>
      <c r="J6" s="2"/>
      <c r="K6" s="1"/>
      <c r="L6" s="1"/>
      <c r="M6" s="1"/>
      <c r="N6" s="1"/>
      <c r="O6" s="1"/>
      <c r="P6" s="1"/>
      <c r="Q6" s="1"/>
      <c r="R6" s="1"/>
      <c r="S6" s="1"/>
      <c r="T6" s="1"/>
      <c r="U6" s="1"/>
      <c r="V6" s="1"/>
      <c r="W6" s="1"/>
      <c r="X6" s="1"/>
      <c r="Y6" s="1"/>
      <c r="Z6" s="1"/>
    </row>
    <row r="7" spans="1:26" ht="15" customHeight="1" x14ac:dyDescent="0.2">
      <c r="A7" s="2" t="s">
        <v>4</v>
      </c>
      <c r="B7" s="3"/>
      <c r="C7" s="2"/>
      <c r="D7" s="2"/>
      <c r="E7" s="2"/>
      <c r="F7" s="2"/>
      <c r="G7" s="2"/>
      <c r="H7" s="2"/>
      <c r="I7" s="2"/>
      <c r="J7" s="2"/>
      <c r="K7" s="1"/>
      <c r="L7" s="1"/>
      <c r="M7" s="1"/>
      <c r="N7" s="1"/>
      <c r="O7" s="1"/>
      <c r="P7" s="1"/>
      <c r="Q7" s="1"/>
      <c r="R7" s="1"/>
      <c r="S7" s="1"/>
      <c r="T7" s="1"/>
      <c r="U7" s="1"/>
      <c r="V7" s="1"/>
      <c r="W7" s="1"/>
      <c r="X7" s="1"/>
      <c r="Y7" s="1"/>
      <c r="Z7" s="1"/>
    </row>
    <row r="8" spans="1:26" ht="15" customHeight="1" x14ac:dyDescent="0.2">
      <c r="A8" s="2" t="s">
        <v>5</v>
      </c>
      <c r="B8" s="3"/>
      <c r="C8" s="2"/>
      <c r="D8" s="2"/>
      <c r="E8" s="2"/>
      <c r="F8" s="2"/>
      <c r="G8" s="2"/>
      <c r="H8" s="2"/>
      <c r="I8" s="2"/>
      <c r="J8" s="2"/>
      <c r="K8" s="1"/>
      <c r="L8" s="1"/>
      <c r="M8" s="1"/>
      <c r="N8" s="1"/>
      <c r="O8" s="1"/>
      <c r="P8" s="1"/>
      <c r="Q8" s="1"/>
      <c r="R8" s="1"/>
      <c r="S8" s="1"/>
      <c r="T8" s="1"/>
      <c r="U8" s="1"/>
      <c r="V8" s="1"/>
      <c r="W8" s="1"/>
      <c r="X8" s="1"/>
      <c r="Y8" s="1"/>
      <c r="Z8" s="1"/>
    </row>
    <row r="9" spans="1:26" ht="15" customHeight="1" x14ac:dyDescent="0.2">
      <c r="A9" s="2" t="s">
        <v>6</v>
      </c>
      <c r="B9" s="3"/>
      <c r="C9" s="2"/>
      <c r="D9" s="2"/>
      <c r="E9" s="2"/>
      <c r="F9" s="2"/>
      <c r="G9" s="2"/>
      <c r="H9" s="2"/>
      <c r="I9" s="2"/>
      <c r="J9" s="2"/>
      <c r="K9" s="1"/>
      <c r="L9" s="1"/>
      <c r="M9" s="1"/>
      <c r="N9" s="1"/>
      <c r="O9" s="1"/>
      <c r="P9" s="1"/>
      <c r="Q9" s="1"/>
      <c r="R9" s="1"/>
      <c r="S9" s="1"/>
      <c r="T9" s="1"/>
      <c r="U9" s="1"/>
      <c r="V9" s="1"/>
      <c r="W9" s="1"/>
      <c r="X9" s="1"/>
      <c r="Y9" s="1"/>
      <c r="Z9" s="1"/>
    </row>
    <row r="10" spans="1:26" ht="15" customHeight="1" x14ac:dyDescent="0.2">
      <c r="A10" s="2"/>
      <c r="B10" s="2"/>
      <c r="C10" s="2"/>
      <c r="D10" s="2"/>
      <c r="E10" s="2"/>
      <c r="F10" s="2"/>
      <c r="G10" s="2"/>
      <c r="H10" s="2"/>
      <c r="I10" s="2"/>
      <c r="J10" s="2"/>
      <c r="K10" s="1"/>
      <c r="L10" s="1"/>
      <c r="M10" s="1"/>
      <c r="N10" s="1"/>
      <c r="O10" s="1"/>
      <c r="P10" s="1"/>
      <c r="Q10" s="1"/>
      <c r="R10" s="1"/>
      <c r="S10" s="1"/>
      <c r="T10" s="1"/>
      <c r="U10" s="1"/>
      <c r="V10" s="1"/>
      <c r="W10" s="1"/>
      <c r="X10" s="1"/>
      <c r="Y10" s="1"/>
      <c r="Z10" s="1"/>
    </row>
    <row r="11" spans="1:26" ht="15.75" customHeight="1" x14ac:dyDescent="0.2">
      <c r="A11" s="79" t="s">
        <v>7</v>
      </c>
      <c r="B11" s="76"/>
      <c r="C11" s="76"/>
      <c r="D11" s="76"/>
      <c r="E11" s="76"/>
      <c r="F11" s="76"/>
      <c r="G11" s="76"/>
      <c r="H11" s="76"/>
      <c r="I11" s="76"/>
      <c r="J11" s="76"/>
      <c r="K11" s="1"/>
      <c r="L11" s="1"/>
      <c r="M11" s="1"/>
      <c r="N11" s="1"/>
      <c r="O11" s="1"/>
      <c r="P11" s="1"/>
      <c r="Q11" s="1"/>
      <c r="R11" s="1"/>
      <c r="S11" s="1"/>
      <c r="T11" s="1"/>
      <c r="U11" s="1"/>
      <c r="V11" s="1"/>
      <c r="W11" s="1"/>
      <c r="X11" s="1"/>
      <c r="Y11" s="1"/>
      <c r="Z11" s="1"/>
    </row>
    <row r="12" spans="1:26" ht="24" customHeight="1" x14ac:dyDescent="0.2">
      <c r="A12" s="80" t="s">
        <v>8</v>
      </c>
      <c r="B12" s="76"/>
      <c r="C12" s="76"/>
      <c r="D12" s="76"/>
      <c r="E12" s="76"/>
      <c r="F12" s="76"/>
      <c r="G12" s="76"/>
      <c r="H12" s="76"/>
      <c r="I12" s="76"/>
      <c r="J12" s="76"/>
      <c r="K12" s="1"/>
      <c r="L12" s="1"/>
      <c r="M12" s="1"/>
      <c r="N12" s="1"/>
      <c r="O12" s="1"/>
      <c r="P12" s="1"/>
      <c r="Q12" s="1"/>
      <c r="R12" s="1"/>
      <c r="S12" s="1"/>
      <c r="T12" s="1"/>
      <c r="U12" s="1"/>
      <c r="V12" s="1"/>
      <c r="W12" s="1"/>
      <c r="X12" s="1"/>
      <c r="Y12" s="1"/>
      <c r="Z12" s="1"/>
    </row>
    <row r="13" spans="1:26" ht="24" customHeight="1" x14ac:dyDescent="0.2">
      <c r="A13" s="76"/>
      <c r="B13" s="76"/>
      <c r="C13" s="76"/>
      <c r="D13" s="76"/>
      <c r="E13" s="76"/>
      <c r="F13" s="76"/>
      <c r="G13" s="76"/>
      <c r="H13" s="76"/>
      <c r="I13" s="76"/>
      <c r="J13" s="76"/>
      <c r="K13" s="1"/>
      <c r="L13" s="1"/>
      <c r="M13" s="1"/>
      <c r="N13" s="1"/>
      <c r="O13" s="1"/>
      <c r="P13" s="1"/>
      <c r="Q13" s="1"/>
      <c r="R13" s="1"/>
      <c r="S13" s="1"/>
      <c r="T13" s="1"/>
      <c r="U13" s="1"/>
      <c r="V13" s="1"/>
      <c r="W13" s="1"/>
      <c r="X13" s="1"/>
      <c r="Y13" s="1"/>
      <c r="Z13" s="1"/>
    </row>
    <row r="14" spans="1:26" ht="24" customHeight="1" x14ac:dyDescent="0.2">
      <c r="A14" s="76"/>
      <c r="B14" s="76"/>
      <c r="C14" s="76"/>
      <c r="D14" s="76"/>
      <c r="E14" s="76"/>
      <c r="F14" s="76"/>
      <c r="G14" s="76"/>
      <c r="H14" s="76"/>
      <c r="I14" s="76"/>
      <c r="J14" s="76"/>
      <c r="K14" s="1"/>
      <c r="L14" s="1"/>
      <c r="M14" s="1"/>
      <c r="N14" s="1"/>
      <c r="O14" s="1"/>
      <c r="P14" s="1"/>
      <c r="Q14" s="1"/>
      <c r="R14" s="1"/>
      <c r="S14" s="1"/>
      <c r="T14" s="1"/>
      <c r="U14" s="1"/>
      <c r="V14" s="1"/>
      <c r="W14" s="1"/>
      <c r="X14" s="1"/>
      <c r="Y14" s="1"/>
      <c r="Z14" s="1"/>
    </row>
    <row r="15" spans="1:26" ht="24" customHeight="1" x14ac:dyDescent="0.2">
      <c r="A15" s="76"/>
      <c r="B15" s="76"/>
      <c r="C15" s="76"/>
      <c r="D15" s="76"/>
      <c r="E15" s="76"/>
      <c r="F15" s="76"/>
      <c r="G15" s="76"/>
      <c r="H15" s="76"/>
      <c r="I15" s="76"/>
      <c r="J15" s="76"/>
      <c r="K15" s="1"/>
      <c r="L15" s="1"/>
      <c r="M15" s="1"/>
      <c r="N15" s="1"/>
      <c r="O15" s="1"/>
      <c r="P15" s="1"/>
      <c r="Q15" s="1"/>
      <c r="R15" s="1"/>
      <c r="S15" s="1"/>
      <c r="T15" s="1"/>
      <c r="U15" s="1"/>
      <c r="V15" s="1"/>
      <c r="W15" s="1"/>
      <c r="X15" s="1"/>
      <c r="Y15" s="1"/>
      <c r="Z15" s="1"/>
    </row>
    <row r="16" spans="1:26" ht="15" customHeight="1" x14ac:dyDescent="0.2">
      <c r="A16" s="2"/>
      <c r="B16" s="2"/>
      <c r="C16" s="2"/>
      <c r="D16" s="2"/>
      <c r="E16" s="2"/>
      <c r="F16" s="2"/>
      <c r="G16" s="2"/>
      <c r="H16" s="2"/>
      <c r="I16" s="2"/>
      <c r="J16" s="2"/>
      <c r="K16" s="1"/>
      <c r="L16" s="1"/>
      <c r="M16" s="1"/>
      <c r="N16" s="1"/>
      <c r="O16" s="1"/>
      <c r="P16" s="1"/>
      <c r="Q16" s="1"/>
      <c r="R16" s="1"/>
      <c r="S16" s="1"/>
      <c r="T16" s="1"/>
      <c r="U16" s="1"/>
      <c r="V16" s="1"/>
      <c r="W16" s="1"/>
      <c r="X16" s="1"/>
      <c r="Y16" s="1"/>
      <c r="Z16" s="1"/>
    </row>
    <row r="17" spans="1:26" ht="15.75" customHeight="1" x14ac:dyDescent="0.2">
      <c r="A17" s="79" t="s">
        <v>9</v>
      </c>
      <c r="B17" s="76"/>
      <c r="C17" s="76"/>
      <c r="D17" s="76"/>
      <c r="E17" s="76"/>
      <c r="F17" s="76"/>
      <c r="G17" s="2"/>
      <c r="H17" s="2"/>
      <c r="I17" s="2"/>
      <c r="J17" s="2"/>
      <c r="K17" s="1"/>
      <c r="L17" s="1"/>
      <c r="M17" s="1"/>
      <c r="N17" s="1"/>
      <c r="O17" s="1"/>
      <c r="P17" s="1"/>
      <c r="Q17" s="1"/>
      <c r="R17" s="1"/>
      <c r="S17" s="1"/>
      <c r="T17" s="1"/>
      <c r="U17" s="1"/>
      <c r="V17" s="1"/>
      <c r="W17" s="1"/>
      <c r="X17" s="1"/>
      <c r="Y17" s="1"/>
      <c r="Z17" s="1"/>
    </row>
    <row r="18" spans="1:26" ht="15.75" customHeight="1" x14ac:dyDescent="0.2">
      <c r="A18" s="6" t="s">
        <v>10</v>
      </c>
      <c r="B18" s="6" t="s">
        <v>11</v>
      </c>
      <c r="C18" s="2"/>
      <c r="D18" s="2"/>
      <c r="E18" s="2"/>
      <c r="F18" s="2"/>
      <c r="G18" s="2"/>
      <c r="H18" s="2"/>
      <c r="I18" s="2"/>
      <c r="J18" s="2"/>
      <c r="K18" s="1"/>
      <c r="L18" s="1"/>
      <c r="M18" s="1"/>
      <c r="N18" s="1"/>
      <c r="O18" s="1"/>
      <c r="P18" s="1"/>
      <c r="Q18" s="1"/>
      <c r="R18" s="1"/>
      <c r="S18" s="1"/>
      <c r="T18" s="1"/>
      <c r="U18" s="1"/>
      <c r="V18" s="1"/>
      <c r="W18" s="1"/>
      <c r="X18" s="1"/>
      <c r="Y18" s="1"/>
      <c r="Z18" s="1"/>
    </row>
    <row r="19" spans="1:26" ht="15.75" customHeight="1" x14ac:dyDescent="0.2">
      <c r="A19" s="7" t="s">
        <v>12</v>
      </c>
      <c r="B19" s="7" t="s">
        <v>13</v>
      </c>
      <c r="C19" s="2"/>
      <c r="D19" s="2"/>
      <c r="E19" s="2"/>
      <c r="F19" s="2"/>
      <c r="G19" s="2"/>
      <c r="H19" s="2"/>
      <c r="I19" s="2"/>
      <c r="J19" s="2"/>
      <c r="K19" s="1"/>
      <c r="L19" s="1"/>
      <c r="M19" s="1"/>
      <c r="N19" s="1"/>
      <c r="O19" s="1"/>
      <c r="P19" s="1"/>
      <c r="Q19" s="1"/>
      <c r="R19" s="1"/>
      <c r="S19" s="1"/>
      <c r="T19" s="1"/>
      <c r="U19" s="1"/>
      <c r="V19" s="1"/>
      <c r="W19" s="1"/>
      <c r="X19" s="1"/>
      <c r="Y19" s="1"/>
      <c r="Z19" s="1"/>
    </row>
    <row r="20" spans="1:26" ht="15.75" customHeight="1" x14ac:dyDescent="0.2">
      <c r="A20" s="7" t="s">
        <v>14</v>
      </c>
      <c r="B20" s="7" t="s">
        <v>15</v>
      </c>
      <c r="C20" s="2"/>
      <c r="D20" s="2"/>
      <c r="E20" s="2"/>
      <c r="F20" s="2"/>
      <c r="G20" s="2"/>
      <c r="H20" s="2"/>
      <c r="I20" s="2"/>
      <c r="J20" s="2"/>
      <c r="K20" s="1"/>
      <c r="L20" s="1"/>
      <c r="M20" s="1"/>
      <c r="N20" s="1"/>
      <c r="O20" s="1"/>
      <c r="P20" s="1"/>
      <c r="Q20" s="1"/>
      <c r="R20" s="1"/>
      <c r="S20" s="1"/>
      <c r="T20" s="1"/>
      <c r="U20" s="1"/>
      <c r="V20" s="1"/>
      <c r="W20" s="1"/>
      <c r="X20" s="1"/>
      <c r="Y20" s="1"/>
      <c r="Z20" s="1"/>
    </row>
    <row r="21" spans="1:26" ht="15.75" customHeight="1" x14ac:dyDescent="0.2">
      <c r="A21" s="7" t="s">
        <v>16</v>
      </c>
      <c r="B21" s="7" t="s">
        <v>17</v>
      </c>
      <c r="C21" s="2"/>
      <c r="D21" s="2"/>
      <c r="E21" s="2"/>
      <c r="F21" s="2"/>
      <c r="G21" s="2"/>
      <c r="H21" s="2"/>
      <c r="I21" s="2"/>
      <c r="J21" s="2"/>
      <c r="K21" s="1"/>
      <c r="L21" s="1"/>
      <c r="M21" s="1"/>
      <c r="N21" s="1"/>
      <c r="O21" s="1"/>
      <c r="P21" s="1"/>
      <c r="Q21" s="1"/>
      <c r="R21" s="1"/>
      <c r="S21" s="1"/>
      <c r="T21" s="1"/>
      <c r="U21" s="1"/>
      <c r="V21" s="1"/>
      <c r="W21" s="1"/>
      <c r="X21" s="1"/>
      <c r="Y21" s="1"/>
      <c r="Z21" s="1"/>
    </row>
    <row r="22" spans="1:26" ht="15.75" customHeight="1" x14ac:dyDescent="0.2">
      <c r="A22" s="7" t="s">
        <v>18</v>
      </c>
      <c r="B22" s="7" t="s">
        <v>19</v>
      </c>
      <c r="C22" s="2"/>
      <c r="D22" s="2"/>
      <c r="E22" s="2"/>
      <c r="F22" s="2"/>
      <c r="G22" s="2"/>
      <c r="H22" s="2"/>
      <c r="I22" s="2"/>
      <c r="J22" s="2"/>
      <c r="K22" s="1"/>
      <c r="L22" s="1"/>
      <c r="M22" s="1"/>
      <c r="N22" s="1"/>
      <c r="O22" s="1"/>
      <c r="P22" s="1"/>
      <c r="Q22" s="1"/>
      <c r="R22" s="1"/>
      <c r="S22" s="1"/>
      <c r="T22" s="1"/>
      <c r="U22" s="1"/>
      <c r="V22" s="1"/>
      <c r="W22" s="1"/>
      <c r="X22" s="1"/>
      <c r="Y22" s="1"/>
      <c r="Z22" s="1"/>
    </row>
    <row r="23" spans="1:26" ht="15.75" customHeight="1" x14ac:dyDescent="0.2">
      <c r="A23" s="2"/>
      <c r="B23" s="2"/>
      <c r="C23" s="2"/>
      <c r="D23" s="2"/>
      <c r="E23" s="2"/>
      <c r="F23" s="2"/>
      <c r="G23" s="2"/>
      <c r="H23" s="2"/>
      <c r="I23" s="2"/>
      <c r="J23" s="2"/>
      <c r="K23" s="1"/>
      <c r="L23" s="1"/>
      <c r="M23" s="1"/>
      <c r="N23" s="1"/>
      <c r="O23" s="1"/>
      <c r="P23" s="1"/>
      <c r="Q23" s="1"/>
      <c r="R23" s="1"/>
      <c r="S23" s="1"/>
      <c r="T23" s="1"/>
      <c r="U23" s="1"/>
      <c r="V23" s="1"/>
      <c r="W23" s="1"/>
      <c r="X23" s="1"/>
      <c r="Y23" s="1"/>
      <c r="Z23" s="1"/>
    </row>
    <row r="24" spans="1:26" ht="15.75" customHeight="1" x14ac:dyDescent="0.2">
      <c r="A24" s="79" t="s">
        <v>20</v>
      </c>
      <c r="B24" s="76"/>
      <c r="C24" s="76"/>
      <c r="D24" s="76"/>
      <c r="E24" s="76"/>
      <c r="F24" s="76"/>
      <c r="G24" s="76"/>
      <c r="H24" s="76"/>
      <c r="I24" s="76"/>
      <c r="J24" s="76"/>
      <c r="K24" s="1"/>
      <c r="L24" s="1"/>
      <c r="M24" s="1"/>
      <c r="N24" s="1"/>
      <c r="O24" s="1"/>
      <c r="P24" s="1"/>
      <c r="Q24" s="1"/>
      <c r="R24" s="1"/>
      <c r="S24" s="1"/>
      <c r="T24" s="1"/>
      <c r="U24" s="1"/>
      <c r="V24" s="1"/>
      <c r="W24" s="1"/>
      <c r="X24" s="1"/>
      <c r="Y24" s="1"/>
      <c r="Z24" s="1"/>
    </row>
    <row r="25" spans="1:26" ht="15.75" customHeight="1" x14ac:dyDescent="0.2">
      <c r="A25" s="6" t="s">
        <v>21</v>
      </c>
      <c r="B25" s="6" t="s">
        <v>22</v>
      </c>
      <c r="C25" s="6" t="s">
        <v>23</v>
      </c>
      <c r="D25" s="2"/>
      <c r="E25" s="2"/>
      <c r="F25" s="2"/>
      <c r="G25" s="2"/>
      <c r="H25" s="2"/>
      <c r="I25" s="2"/>
      <c r="J25" s="2"/>
      <c r="K25" s="1"/>
      <c r="L25" s="1"/>
      <c r="M25" s="1"/>
      <c r="N25" s="1"/>
      <c r="O25" s="1"/>
      <c r="P25" s="1"/>
      <c r="Q25" s="1"/>
      <c r="R25" s="1"/>
      <c r="S25" s="1"/>
      <c r="T25" s="1"/>
      <c r="U25" s="1"/>
      <c r="V25" s="1"/>
      <c r="W25" s="1"/>
      <c r="X25" s="1"/>
      <c r="Y25" s="1"/>
      <c r="Z25" s="1"/>
    </row>
    <row r="26" spans="1:26" ht="33.75" customHeight="1" x14ac:dyDescent="0.2">
      <c r="A26" s="7" t="s">
        <v>4</v>
      </c>
      <c r="B26" s="7" t="s">
        <v>24</v>
      </c>
      <c r="C26" s="7" t="s">
        <v>25</v>
      </c>
      <c r="D26" s="2"/>
      <c r="E26" s="2"/>
      <c r="F26" s="2"/>
      <c r="G26" s="2"/>
      <c r="H26" s="2"/>
      <c r="I26" s="2"/>
      <c r="J26" s="2"/>
      <c r="K26" s="1"/>
      <c r="L26" s="1"/>
      <c r="M26" s="1"/>
      <c r="N26" s="1"/>
      <c r="O26" s="1"/>
      <c r="P26" s="1"/>
      <c r="Q26" s="1"/>
      <c r="R26" s="1"/>
      <c r="S26" s="1"/>
      <c r="T26" s="1"/>
      <c r="U26" s="1"/>
      <c r="V26" s="1"/>
      <c r="W26" s="1"/>
      <c r="X26" s="1"/>
      <c r="Y26" s="1"/>
      <c r="Z26" s="1"/>
    </row>
    <row r="27" spans="1:26" ht="33.75" customHeight="1" x14ac:dyDescent="0.2">
      <c r="A27" s="7" t="s">
        <v>5</v>
      </c>
      <c r="B27" s="7" t="s">
        <v>26</v>
      </c>
      <c r="C27" s="7" t="s">
        <v>27</v>
      </c>
      <c r="D27" s="2"/>
      <c r="E27" s="2"/>
      <c r="F27" s="2"/>
      <c r="G27" s="2"/>
      <c r="H27" s="2"/>
      <c r="I27" s="2"/>
      <c r="J27" s="2"/>
      <c r="K27" s="1"/>
      <c r="L27" s="1"/>
      <c r="M27" s="1"/>
      <c r="N27" s="1"/>
      <c r="O27" s="1"/>
      <c r="P27" s="1"/>
      <c r="Q27" s="1"/>
      <c r="R27" s="1"/>
      <c r="S27" s="1"/>
      <c r="T27" s="1"/>
      <c r="U27" s="1"/>
      <c r="V27" s="1"/>
      <c r="W27" s="1"/>
      <c r="X27" s="1"/>
      <c r="Y27" s="1"/>
      <c r="Z27" s="1"/>
    </row>
    <row r="28" spans="1:26" ht="33.75" customHeight="1" x14ac:dyDescent="0.2">
      <c r="A28" s="7" t="s">
        <v>6</v>
      </c>
      <c r="B28" s="7" t="s">
        <v>28</v>
      </c>
      <c r="C28" s="7" t="s">
        <v>29</v>
      </c>
      <c r="D28" s="2"/>
      <c r="E28" s="2"/>
      <c r="F28" s="2"/>
      <c r="G28" s="2"/>
      <c r="H28" s="2"/>
      <c r="I28" s="2"/>
      <c r="J28" s="2"/>
      <c r="K28" s="1"/>
      <c r="L28" s="1"/>
      <c r="M28" s="1"/>
      <c r="N28" s="1"/>
      <c r="O28" s="1"/>
      <c r="P28" s="1"/>
      <c r="Q28" s="1"/>
      <c r="R28" s="1"/>
      <c r="S28" s="1"/>
      <c r="T28" s="1"/>
      <c r="U28" s="1"/>
      <c r="V28" s="1"/>
      <c r="W28" s="1"/>
      <c r="X28" s="1"/>
      <c r="Y28" s="1"/>
      <c r="Z28" s="1"/>
    </row>
    <row r="29" spans="1:26" ht="15.75" customHeight="1" x14ac:dyDescent="0.2">
      <c r="A29" s="2"/>
      <c r="B29" s="2"/>
      <c r="C29" s="2"/>
      <c r="D29" s="2"/>
      <c r="E29" s="2"/>
      <c r="F29" s="2"/>
      <c r="G29" s="2"/>
      <c r="H29" s="2"/>
      <c r="I29" s="2"/>
      <c r="J29" s="2"/>
      <c r="K29" s="1"/>
      <c r="L29" s="1"/>
      <c r="M29" s="1"/>
      <c r="N29" s="1"/>
      <c r="O29" s="1"/>
      <c r="P29" s="1"/>
      <c r="Q29" s="1"/>
      <c r="R29" s="1"/>
      <c r="S29" s="1"/>
      <c r="T29" s="1"/>
      <c r="U29" s="1"/>
      <c r="V29" s="1"/>
      <c r="W29" s="1"/>
      <c r="X29" s="1"/>
      <c r="Y29" s="1"/>
      <c r="Z29" s="1"/>
    </row>
    <row r="30" spans="1:26" ht="15.75" customHeight="1" x14ac:dyDescent="0.2">
      <c r="A30" s="79" t="s">
        <v>30</v>
      </c>
      <c r="B30" s="76"/>
      <c r="C30" s="76"/>
      <c r="D30" s="76"/>
      <c r="E30" s="76"/>
      <c r="F30" s="76"/>
      <c r="G30" s="76"/>
      <c r="H30" s="76"/>
      <c r="I30" s="76"/>
      <c r="J30" s="76"/>
      <c r="K30" s="1"/>
      <c r="L30" s="1"/>
      <c r="M30" s="1"/>
      <c r="N30" s="1"/>
      <c r="O30" s="1"/>
      <c r="P30" s="1"/>
      <c r="Q30" s="1"/>
      <c r="R30" s="1"/>
      <c r="S30" s="1"/>
      <c r="T30" s="1"/>
      <c r="U30" s="1"/>
      <c r="V30" s="1"/>
      <c r="W30" s="1"/>
      <c r="X30" s="1"/>
      <c r="Y30" s="1"/>
      <c r="Z30" s="1"/>
    </row>
    <row r="31" spans="1:26" ht="15.75" customHeight="1" x14ac:dyDescent="0.2">
      <c r="A31" s="8" t="s">
        <v>31</v>
      </c>
      <c r="B31" s="8" t="s">
        <v>32</v>
      </c>
      <c r="C31" s="8" t="s">
        <v>33</v>
      </c>
      <c r="D31" s="8" t="s">
        <v>34</v>
      </c>
      <c r="E31" s="2"/>
      <c r="F31" s="2"/>
      <c r="G31" s="2"/>
      <c r="H31" s="2"/>
      <c r="I31" s="2"/>
      <c r="J31" s="2"/>
      <c r="K31" s="1"/>
      <c r="L31" s="1"/>
      <c r="M31" s="1"/>
      <c r="N31" s="1"/>
      <c r="O31" s="1"/>
      <c r="P31" s="1"/>
      <c r="Q31" s="1"/>
      <c r="R31" s="1"/>
      <c r="S31" s="1"/>
      <c r="T31" s="1"/>
      <c r="U31" s="1"/>
      <c r="V31" s="1"/>
      <c r="W31" s="1"/>
      <c r="X31" s="1"/>
      <c r="Y31" s="1"/>
      <c r="Z31" s="1"/>
    </row>
    <row r="32" spans="1:26" ht="48" customHeight="1" x14ac:dyDescent="0.2">
      <c r="A32" s="7" t="s">
        <v>35</v>
      </c>
      <c r="B32" s="7">
        <f>'Scoring Backend'!$B$4</f>
        <v>10</v>
      </c>
      <c r="C32" s="7" t="str">
        <f>'Scoring Backend'!$C$4&amp;" Load / Day"</f>
        <v>1 Load / Day</v>
      </c>
      <c r="D32" s="7" t="s">
        <v>36</v>
      </c>
      <c r="E32" s="2"/>
      <c r="F32" s="2"/>
      <c r="G32" s="2"/>
      <c r="H32" s="2"/>
      <c r="I32" s="2"/>
      <c r="J32" s="2"/>
      <c r="K32" s="1"/>
      <c r="L32" s="1"/>
      <c r="M32" s="1"/>
      <c r="N32" s="1"/>
      <c r="O32" s="1"/>
      <c r="P32" s="1"/>
      <c r="Q32" s="1"/>
      <c r="R32" s="1"/>
      <c r="S32" s="1"/>
      <c r="T32" s="1"/>
      <c r="U32" s="1"/>
      <c r="V32" s="1"/>
      <c r="W32" s="1"/>
      <c r="X32" s="1"/>
      <c r="Y32" s="1"/>
      <c r="Z32" s="1"/>
    </row>
    <row r="33" spans="1:26" ht="15.75" customHeight="1" x14ac:dyDescent="0.2">
      <c r="A33" s="7" t="s">
        <v>37</v>
      </c>
      <c r="B33" s="7">
        <f>'Scoring Backend'!$B$5</f>
        <v>10</v>
      </c>
      <c r="C33" s="7" t="s">
        <v>38</v>
      </c>
      <c r="D33" s="7" t="s">
        <v>39</v>
      </c>
      <c r="E33" s="2"/>
      <c r="F33" s="2"/>
      <c r="G33" s="2"/>
      <c r="H33" s="2"/>
      <c r="I33" s="2"/>
      <c r="J33" s="2"/>
      <c r="K33" s="1"/>
      <c r="L33" s="1"/>
      <c r="M33" s="1"/>
      <c r="N33" s="1"/>
      <c r="O33" s="1"/>
      <c r="P33" s="1"/>
      <c r="Q33" s="1"/>
      <c r="R33" s="1"/>
      <c r="S33" s="1"/>
      <c r="T33" s="1"/>
      <c r="U33" s="1"/>
      <c r="V33" s="1"/>
      <c r="W33" s="1"/>
      <c r="X33" s="1"/>
      <c r="Y33" s="1"/>
      <c r="Z33" s="1"/>
    </row>
    <row r="34" spans="1:26" ht="15.75" customHeight="1" x14ac:dyDescent="0.2">
      <c r="A34" s="7"/>
      <c r="B34" s="7"/>
      <c r="C34" s="7"/>
      <c r="D34" s="7"/>
      <c r="E34" s="2"/>
      <c r="F34" s="2"/>
      <c r="G34" s="2"/>
      <c r="H34" s="2"/>
      <c r="I34" s="2"/>
      <c r="J34" s="2"/>
      <c r="K34" s="1"/>
      <c r="L34" s="1"/>
      <c r="M34" s="1"/>
      <c r="N34" s="1"/>
      <c r="O34" s="1"/>
      <c r="P34" s="1"/>
      <c r="Q34" s="1"/>
      <c r="R34" s="1"/>
      <c r="S34" s="1"/>
      <c r="T34" s="1"/>
      <c r="U34" s="1"/>
      <c r="V34" s="1"/>
      <c r="W34" s="1"/>
      <c r="X34" s="1"/>
      <c r="Y34" s="1"/>
      <c r="Z34" s="1"/>
    </row>
    <row r="35" spans="1:26" ht="31.5" customHeight="1" x14ac:dyDescent="0.2">
      <c r="A35" s="8" t="s">
        <v>40</v>
      </c>
      <c r="B35" s="8" t="s">
        <v>32</v>
      </c>
      <c r="C35" s="8" t="s">
        <v>33</v>
      </c>
      <c r="D35" s="8" t="s">
        <v>196</v>
      </c>
      <c r="E35" s="2"/>
      <c r="F35" s="2"/>
      <c r="G35" s="2"/>
      <c r="H35" s="2"/>
      <c r="I35" s="2"/>
      <c r="J35" s="2"/>
      <c r="K35" s="1"/>
      <c r="L35" s="1"/>
      <c r="M35" s="1"/>
      <c r="N35" s="1"/>
      <c r="O35" s="1"/>
      <c r="P35" s="1"/>
      <c r="Q35" s="1"/>
      <c r="R35" s="1"/>
      <c r="S35" s="1"/>
      <c r="T35" s="1"/>
      <c r="U35" s="1"/>
      <c r="V35" s="1"/>
      <c r="W35" s="1"/>
      <c r="X35" s="1"/>
      <c r="Y35" s="1"/>
      <c r="Z35" s="1"/>
    </row>
    <row r="36" spans="1:26" ht="31.5" customHeight="1" x14ac:dyDescent="0.2">
      <c r="A36" s="7" t="s">
        <v>41</v>
      </c>
      <c r="B36" s="7">
        <f>'Scoring Backend'!$B$6</f>
        <v>20</v>
      </c>
      <c r="C36" s="7" t="str">
        <f>'Scoring Backend'!$C$6&amp;" Loads / Day"</f>
        <v>3 Loads / Day</v>
      </c>
      <c r="D36" s="7" t="s">
        <v>197</v>
      </c>
      <c r="E36" s="2"/>
      <c r="F36" s="2"/>
      <c r="G36" s="2"/>
      <c r="H36" s="2"/>
      <c r="I36" s="2"/>
      <c r="J36" s="2"/>
      <c r="K36" s="1"/>
      <c r="L36" s="1"/>
      <c r="M36" s="1"/>
      <c r="N36" s="1"/>
      <c r="O36" s="1"/>
      <c r="P36" s="1"/>
      <c r="Q36" s="1"/>
      <c r="R36" s="1"/>
      <c r="S36" s="1"/>
      <c r="T36" s="1"/>
      <c r="U36" s="1"/>
      <c r="V36" s="1"/>
      <c r="W36" s="1"/>
      <c r="X36" s="1"/>
      <c r="Y36" s="1"/>
      <c r="Z36" s="1"/>
    </row>
    <row r="37" spans="1:26" ht="31.5" customHeight="1" x14ac:dyDescent="0.2">
      <c r="A37" s="7" t="s">
        <v>42</v>
      </c>
      <c r="B37" s="7">
        <f>'Scoring Backend'!$B$7</f>
        <v>35</v>
      </c>
      <c r="C37" s="7" t="str">
        <f>'Scoring Backend'!$C$7&amp;" Loads / Day"</f>
        <v>5 Loads / Day</v>
      </c>
      <c r="D37" s="7" t="s">
        <v>198</v>
      </c>
      <c r="E37" s="2"/>
      <c r="F37" s="2"/>
      <c r="G37" s="2"/>
      <c r="H37" s="2"/>
      <c r="I37" s="2"/>
      <c r="J37" s="2"/>
      <c r="K37" s="1"/>
      <c r="L37" s="1"/>
      <c r="M37" s="1"/>
      <c r="N37" s="1"/>
      <c r="O37" s="1"/>
      <c r="P37" s="1"/>
      <c r="Q37" s="1"/>
      <c r="R37" s="1"/>
      <c r="S37" s="1"/>
      <c r="T37" s="1"/>
      <c r="U37" s="1"/>
      <c r="V37" s="1"/>
      <c r="W37" s="1"/>
      <c r="X37" s="1"/>
      <c r="Y37" s="1"/>
      <c r="Z37" s="1"/>
    </row>
    <row r="38" spans="1:26" ht="31.5" customHeight="1" x14ac:dyDescent="0.2">
      <c r="A38" s="7" t="s">
        <v>43</v>
      </c>
      <c r="B38" s="7">
        <f>'Scoring Backend'!$B$8</f>
        <v>60</v>
      </c>
      <c r="C38" s="7" t="str">
        <f>'Scoring Backend'!$C$8&amp;" Loads / Day"</f>
        <v>8 Loads / Day</v>
      </c>
      <c r="D38" s="7" t="s">
        <v>199</v>
      </c>
      <c r="E38" s="2"/>
      <c r="F38" s="2"/>
      <c r="G38" s="2"/>
      <c r="H38" s="2"/>
      <c r="I38" s="2"/>
      <c r="J38" s="2"/>
      <c r="K38" s="1"/>
      <c r="L38" s="1"/>
      <c r="M38" s="1"/>
      <c r="N38" s="1"/>
      <c r="O38" s="1"/>
      <c r="P38" s="1"/>
      <c r="Q38" s="1"/>
      <c r="R38" s="1"/>
      <c r="S38" s="1"/>
      <c r="T38" s="1"/>
      <c r="U38" s="1"/>
      <c r="V38" s="1"/>
      <c r="W38" s="1"/>
      <c r="X38" s="1"/>
      <c r="Y38" s="1"/>
      <c r="Z38" s="1"/>
    </row>
    <row r="39" spans="1:26" ht="15.75" customHeight="1" x14ac:dyDescent="0.2">
      <c r="A39" s="2"/>
      <c r="B39" s="2"/>
      <c r="C39" s="2"/>
      <c r="D39" s="2"/>
      <c r="E39" s="2"/>
      <c r="F39" s="2"/>
      <c r="G39" s="2"/>
      <c r="H39" s="2"/>
      <c r="I39" s="2"/>
      <c r="J39" s="2"/>
      <c r="K39" s="1"/>
      <c r="L39" s="1"/>
      <c r="M39" s="1"/>
      <c r="N39" s="1"/>
      <c r="O39" s="1"/>
      <c r="P39" s="1"/>
      <c r="Q39" s="1"/>
      <c r="R39" s="1"/>
      <c r="S39" s="1"/>
      <c r="T39" s="1"/>
      <c r="U39" s="1"/>
      <c r="V39" s="1"/>
      <c r="W39" s="1"/>
      <c r="X39" s="1"/>
      <c r="Y39" s="1"/>
      <c r="Z39" s="1"/>
    </row>
    <row r="40" spans="1:26" ht="15.75" customHeight="1" x14ac:dyDescent="0.2">
      <c r="A40" s="79" t="s">
        <v>44</v>
      </c>
      <c r="B40" s="76"/>
      <c r="C40" s="76"/>
      <c r="D40" s="76"/>
      <c r="E40" s="76"/>
      <c r="F40" s="76"/>
      <c r="G40" s="76"/>
      <c r="H40" s="76"/>
      <c r="I40" s="76"/>
      <c r="J40" s="76"/>
      <c r="K40" s="1"/>
      <c r="L40" s="1"/>
      <c r="M40" s="1"/>
      <c r="N40" s="1"/>
      <c r="O40" s="1"/>
      <c r="P40" s="1"/>
      <c r="Q40" s="1"/>
      <c r="R40" s="1"/>
      <c r="S40" s="1"/>
      <c r="T40" s="1"/>
      <c r="U40" s="1"/>
      <c r="V40" s="1"/>
      <c r="W40" s="1"/>
      <c r="X40" s="1"/>
      <c r="Y40" s="1"/>
      <c r="Z40" s="1"/>
    </row>
    <row r="41" spans="1:26" ht="15.75" customHeight="1" x14ac:dyDescent="0.2">
      <c r="A41" s="90" t="s">
        <v>45</v>
      </c>
      <c r="B41" s="76"/>
      <c r="C41" s="76"/>
      <c r="D41" s="76"/>
      <c r="E41" s="76"/>
      <c r="F41" s="76"/>
      <c r="G41" s="76"/>
      <c r="H41" s="76"/>
      <c r="I41" s="76"/>
      <c r="J41" s="76"/>
      <c r="K41" s="1"/>
      <c r="L41" s="1"/>
      <c r="M41" s="1"/>
      <c r="N41" s="1"/>
      <c r="O41" s="1"/>
      <c r="P41" s="1"/>
      <c r="Q41" s="1"/>
      <c r="R41" s="1"/>
      <c r="S41" s="1"/>
      <c r="T41" s="1"/>
      <c r="U41" s="1"/>
      <c r="V41" s="1"/>
      <c r="W41" s="1"/>
      <c r="X41" s="1"/>
      <c r="Y41" s="1"/>
      <c r="Z41" s="1"/>
    </row>
    <row r="42" spans="1:26" ht="15.75" customHeight="1" x14ac:dyDescent="0.2">
      <c r="A42" s="76"/>
      <c r="B42" s="76"/>
      <c r="C42" s="76"/>
      <c r="D42" s="76"/>
      <c r="E42" s="76"/>
      <c r="F42" s="76"/>
      <c r="G42" s="76"/>
      <c r="H42" s="76"/>
      <c r="I42" s="76"/>
      <c r="J42" s="76"/>
      <c r="K42" s="1"/>
      <c r="L42" s="1"/>
      <c r="M42" s="1"/>
      <c r="N42" s="1"/>
      <c r="O42" s="1"/>
      <c r="P42" s="1"/>
      <c r="Q42" s="1"/>
      <c r="R42" s="1"/>
      <c r="S42" s="1"/>
      <c r="T42" s="1"/>
      <c r="U42" s="1"/>
      <c r="V42" s="1"/>
      <c r="W42" s="1"/>
      <c r="X42" s="1"/>
      <c r="Y42" s="1"/>
      <c r="Z42" s="1"/>
    </row>
    <row r="43" spans="1:26" ht="15.75" customHeight="1" x14ac:dyDescent="0.2">
      <c r="A43" s="2"/>
      <c r="B43" s="2"/>
      <c r="C43" s="2"/>
      <c r="D43" s="2"/>
      <c r="E43" s="2"/>
      <c r="F43" s="2"/>
      <c r="G43" s="2"/>
      <c r="H43" s="2"/>
      <c r="I43" s="2"/>
      <c r="J43" s="2"/>
      <c r="K43" s="1"/>
      <c r="L43" s="1"/>
      <c r="M43" s="1"/>
      <c r="N43" s="1"/>
      <c r="O43" s="1"/>
      <c r="P43" s="1"/>
      <c r="Q43" s="1"/>
      <c r="R43" s="1"/>
      <c r="S43" s="1"/>
      <c r="T43" s="1"/>
      <c r="U43" s="1"/>
      <c r="V43" s="1"/>
      <c r="W43" s="1"/>
      <c r="X43" s="1"/>
      <c r="Y43" s="1"/>
      <c r="Z43" s="1"/>
    </row>
    <row r="44" spans="1:26" ht="15.75" customHeight="1" x14ac:dyDescent="0.2">
      <c r="A44" s="8" t="s">
        <v>46</v>
      </c>
      <c r="B44" s="8" t="s">
        <v>47</v>
      </c>
      <c r="C44" s="8" t="s">
        <v>48</v>
      </c>
      <c r="D44" s="7"/>
      <c r="E44" s="7"/>
      <c r="F44" s="8" t="s">
        <v>49</v>
      </c>
      <c r="G44" s="8" t="s">
        <v>50</v>
      </c>
      <c r="H44" s="2"/>
      <c r="I44" s="2"/>
      <c r="J44" s="2"/>
      <c r="K44" s="1"/>
      <c r="L44" s="1"/>
      <c r="M44" s="1"/>
      <c r="N44" s="1"/>
      <c r="O44" s="1"/>
      <c r="P44" s="1"/>
      <c r="Q44" s="1"/>
      <c r="R44" s="1"/>
      <c r="S44" s="1"/>
      <c r="T44" s="1"/>
      <c r="U44" s="1"/>
      <c r="V44" s="1"/>
      <c r="W44" s="1"/>
      <c r="X44" s="1"/>
      <c r="Y44" s="1"/>
      <c r="Z44" s="1"/>
    </row>
    <row r="45" spans="1:26" ht="15.75" customHeight="1" x14ac:dyDescent="0.2">
      <c r="A45" s="7" t="s">
        <v>51</v>
      </c>
      <c r="B45" s="20"/>
      <c r="C45" s="7" t="s">
        <v>52</v>
      </c>
      <c r="D45" s="7"/>
      <c r="E45" s="7"/>
      <c r="F45" s="7" t="s">
        <v>49</v>
      </c>
      <c r="G45" s="12">
        <f>$B$45*'Scoring Backend'!$C$4 + $B$47*'Scoring Backend'!$C$6 + $B$48*'Scoring Backend'!$C$7 + $B$49*'Scoring Backend'!$C$8</f>
        <v>0</v>
      </c>
      <c r="H45" s="2"/>
      <c r="I45" s="2"/>
      <c r="J45" s="2"/>
      <c r="K45" s="1"/>
      <c r="L45" s="1"/>
      <c r="M45" s="1"/>
      <c r="N45" s="1"/>
      <c r="O45" s="1"/>
      <c r="P45" s="1"/>
      <c r="Q45" s="1"/>
      <c r="R45" s="1"/>
      <c r="S45" s="1"/>
      <c r="T45" s="1"/>
      <c r="U45" s="1"/>
      <c r="V45" s="1"/>
      <c r="W45" s="1"/>
      <c r="X45" s="1"/>
      <c r="Y45" s="1"/>
      <c r="Z45" s="1"/>
    </row>
    <row r="46" spans="1:26" ht="15.75" customHeight="1" x14ac:dyDescent="0.2">
      <c r="A46" s="7" t="s">
        <v>53</v>
      </c>
      <c r="B46" s="20"/>
      <c r="C46" s="7" t="s">
        <v>54</v>
      </c>
      <c r="D46" s="7"/>
      <c r="E46" s="7"/>
      <c r="F46" s="7" t="s">
        <v>200</v>
      </c>
      <c r="G46" s="12">
        <f>$B$47*'Scoring Backend'!$G$4 + $B$48*'Scoring Backend'!$G$5 + $B$49*'Scoring Backend'!$G$6</f>
        <v>0</v>
      </c>
      <c r="H46" s="2"/>
      <c r="I46" s="2"/>
      <c r="J46" s="2"/>
      <c r="K46" s="1"/>
      <c r="L46" s="1"/>
      <c r="M46" s="1"/>
      <c r="N46" s="1"/>
      <c r="O46" s="1"/>
      <c r="P46" s="1"/>
      <c r="Q46" s="1"/>
      <c r="R46" s="1"/>
      <c r="S46" s="1"/>
      <c r="T46" s="1"/>
      <c r="U46" s="1"/>
      <c r="V46" s="1"/>
      <c r="W46" s="1"/>
      <c r="X46" s="1"/>
      <c r="Y46" s="1"/>
      <c r="Z46" s="1"/>
    </row>
    <row r="47" spans="1:26" ht="15.75" customHeight="1" x14ac:dyDescent="0.2">
      <c r="A47" s="7" t="s">
        <v>55</v>
      </c>
      <c r="B47" s="20"/>
      <c r="C47" s="7" t="s">
        <v>201</v>
      </c>
      <c r="D47" s="7"/>
      <c r="E47" s="7"/>
      <c r="F47" s="7" t="s">
        <v>202</v>
      </c>
      <c r="G47" s="12" t="str">
        <f>IF(COUNTA($B$45:$B$49)=0,"Status",IF($B$46&gt;=G46,"PASS","FAIL"))</f>
        <v>Status</v>
      </c>
      <c r="H47" s="2"/>
      <c r="I47" s="2"/>
      <c r="J47" s="2"/>
      <c r="K47" s="1"/>
      <c r="L47" s="1"/>
      <c r="M47" s="1"/>
      <c r="N47" s="1"/>
      <c r="O47" s="1"/>
      <c r="P47" s="1"/>
      <c r="Q47" s="1"/>
      <c r="R47" s="1"/>
      <c r="S47" s="1"/>
      <c r="T47" s="1"/>
      <c r="U47" s="1"/>
      <c r="V47" s="1"/>
      <c r="W47" s="1"/>
      <c r="X47" s="1"/>
      <c r="Y47" s="1"/>
      <c r="Z47" s="1"/>
    </row>
    <row r="48" spans="1:26" ht="15.75" customHeight="1" x14ac:dyDescent="0.2">
      <c r="A48" s="7" t="s">
        <v>56</v>
      </c>
      <c r="B48" s="20"/>
      <c r="C48" s="7" t="s">
        <v>203</v>
      </c>
      <c r="D48" s="7"/>
      <c r="E48" s="7"/>
      <c r="F48" s="7" t="s">
        <v>57</v>
      </c>
      <c r="G48" s="12" t="str">
        <f>IF(COUNTA($B$45:$B$49)=0,"Status",IF(G45&gt;='Scoring Backend'!$B$20,"PASS","FAIL"))</f>
        <v>Status</v>
      </c>
      <c r="H48" s="2"/>
      <c r="I48" s="2"/>
      <c r="J48" s="2"/>
      <c r="K48" s="1"/>
      <c r="L48" s="1"/>
      <c r="M48" s="1"/>
      <c r="N48" s="1"/>
      <c r="O48" s="1"/>
      <c r="P48" s="1"/>
      <c r="Q48" s="1"/>
      <c r="R48" s="1"/>
      <c r="S48" s="1"/>
      <c r="T48" s="1"/>
      <c r="U48" s="1"/>
      <c r="V48" s="1"/>
      <c r="W48" s="1"/>
      <c r="X48" s="1"/>
      <c r="Y48" s="1"/>
      <c r="Z48" s="1"/>
    </row>
    <row r="49" spans="1:26" ht="15.75" customHeight="1" x14ac:dyDescent="0.2">
      <c r="A49" s="7" t="s">
        <v>58</v>
      </c>
      <c r="B49" s="7"/>
      <c r="C49" s="7" t="s">
        <v>204</v>
      </c>
      <c r="D49" s="7"/>
      <c r="E49" s="7"/>
      <c r="F49" s="7" t="s">
        <v>59</v>
      </c>
      <c r="G49" s="12">
        <f>$B$45*'Scoring Backend'!$B$4 + $B$46*'Scoring Backend'!$B$5 + $B$47*'Scoring Backend'!$B$6 + $B$48*'Scoring Backend'!$B$7 + $B$49*'Scoring Backend'!$B$8</f>
        <v>0</v>
      </c>
      <c r="H49" s="2"/>
      <c r="I49" s="2"/>
      <c r="J49" s="2"/>
      <c r="K49" s="1"/>
      <c r="L49" s="1"/>
      <c r="M49" s="1"/>
      <c r="N49" s="1"/>
      <c r="O49" s="1"/>
      <c r="P49" s="1"/>
      <c r="Q49" s="1"/>
      <c r="R49" s="1"/>
      <c r="S49" s="1"/>
      <c r="T49" s="1"/>
      <c r="U49" s="1"/>
      <c r="V49" s="1"/>
      <c r="W49" s="1"/>
      <c r="X49" s="1"/>
      <c r="Y49" s="1"/>
      <c r="Z49" s="1"/>
    </row>
    <row r="50" spans="1:26" ht="15.75" customHeight="1" x14ac:dyDescent="0.2">
      <c r="A50" s="13" t="s">
        <v>60</v>
      </c>
      <c r="B50" s="14"/>
      <c r="C50" s="14"/>
      <c r="D50" s="7"/>
      <c r="E50" s="7"/>
      <c r="F50" s="15" t="s">
        <v>61</v>
      </c>
      <c r="G50" s="16" t="str">
        <f>IF(COUNT($B$45:$B$49)=0,"",IF(G45&lt;=0,"",'Scoring Backend'!$B$19/G45))</f>
        <v/>
      </c>
      <c r="H50" s="2"/>
      <c r="I50" s="2"/>
      <c r="J50" s="2"/>
      <c r="K50" s="1"/>
      <c r="L50" s="1"/>
      <c r="M50" s="1"/>
      <c r="N50" s="1"/>
      <c r="O50" s="1"/>
      <c r="P50" s="1"/>
      <c r="Q50" s="1"/>
      <c r="R50" s="1"/>
      <c r="S50" s="1"/>
      <c r="T50" s="1"/>
      <c r="U50" s="1"/>
      <c r="V50" s="1"/>
      <c r="W50" s="1"/>
      <c r="X50" s="1"/>
      <c r="Y50" s="1"/>
      <c r="Z50" s="1"/>
    </row>
    <row r="51" spans="1:26" ht="24" customHeight="1" x14ac:dyDescent="0.2">
      <c r="A51" s="17" t="str">
        <f>IF(COUNT($B$45:$B$49)=0,"",REPT("👷 ",MIN(N($B$45),12))&amp;IF(N($B$45)&gt;12,"+",""))</f>
        <v/>
      </c>
      <c r="B51" s="17" t="str">
        <f>IF(COUNT($B$45:$B$49)=0,"",REPT("🦺 ",MIN(N($B$46),12))&amp;IF(N($B$46)&gt;12,"+","")&amp;"  "&amp;REPT("🤖 ",MIN(SUM($B$47:$B$49),12))&amp;IF(SUM($B$47:$B$49)&gt;12,"+",""))</f>
        <v/>
      </c>
      <c r="C51" s="14" t="str">
        <f>IF(COUNT($B$45:$B$49)=0,"","Material Workers: "&amp;N($B$45)&amp;" | Support Workers: "&amp;N($B$46)&amp;" | Robots/Fleets: "&amp;SUM($B$47:$B$49))</f>
        <v/>
      </c>
      <c r="D51" s="7"/>
      <c r="E51" s="7"/>
      <c r="F51" s="15" t="s">
        <v>62</v>
      </c>
      <c r="G51" s="18" t="str">
        <f>IF(COUNT($B$45:$B$49)=0,"Status",IF(AND(ISNUMBER(G50),G50&lt;='Scoring Backend'!$B$18),"ON TRACK","DELAY RISK"))</f>
        <v>Status</v>
      </c>
      <c r="H51" s="2"/>
      <c r="I51" s="2"/>
      <c r="J51" s="2"/>
      <c r="K51" s="1"/>
      <c r="L51" s="1"/>
      <c r="M51" s="1"/>
      <c r="N51" s="1"/>
      <c r="O51" s="1"/>
      <c r="P51" s="1"/>
      <c r="Q51" s="1"/>
      <c r="R51" s="1"/>
      <c r="S51" s="1"/>
      <c r="T51" s="1"/>
      <c r="U51" s="1"/>
      <c r="V51" s="1"/>
      <c r="W51" s="1"/>
      <c r="X51" s="1"/>
      <c r="Y51" s="1"/>
      <c r="Z51" s="1"/>
    </row>
    <row r="52" spans="1:26" ht="15.75" customHeight="1" x14ac:dyDescent="0.2">
      <c r="A52" s="8" t="s">
        <v>63</v>
      </c>
      <c r="B52" s="8"/>
      <c r="C52" s="8"/>
      <c r="D52" s="7"/>
      <c r="E52" s="7"/>
      <c r="F52" s="15" t="s">
        <v>64</v>
      </c>
      <c r="G52" s="19" t="str">
        <f>IF(COUNT($B$45:$B$49)=0,"",REPT("█",ROUND(MIN(1,G45/'Scoring Backend'!$B$20)*20,0))&amp;REPT("░",20-ROUND(MIN(1,G45/'Scoring Backend'!$B$20)*20,0))&amp;" "&amp;TEXT(G45/'Scoring Backend'!$B$20,"0%"))</f>
        <v/>
      </c>
      <c r="H52" s="2"/>
      <c r="I52" s="2"/>
      <c r="J52" s="2"/>
      <c r="K52" s="1"/>
      <c r="L52" s="1"/>
      <c r="M52" s="1"/>
      <c r="N52" s="1"/>
      <c r="O52" s="1"/>
      <c r="P52" s="1"/>
      <c r="Q52" s="1"/>
      <c r="R52" s="1"/>
      <c r="S52" s="1"/>
      <c r="T52" s="1"/>
      <c r="U52" s="1"/>
      <c r="V52" s="1"/>
      <c r="W52" s="1"/>
      <c r="X52" s="1"/>
      <c r="Y52" s="1"/>
      <c r="Z52" s="1"/>
    </row>
    <row r="53" spans="1:26" ht="15.75" customHeight="1" x14ac:dyDescent="0.2">
      <c r="A53" s="7"/>
      <c r="B53" s="81"/>
      <c r="C53" s="76"/>
      <c r="D53" s="2"/>
      <c r="E53" s="2"/>
      <c r="F53" s="2"/>
      <c r="G53" s="2"/>
      <c r="H53" s="2"/>
      <c r="I53" s="2"/>
      <c r="J53" s="2"/>
      <c r="K53" s="1"/>
      <c r="L53" s="1"/>
      <c r="M53" s="1"/>
      <c r="N53" s="1"/>
      <c r="O53" s="1"/>
      <c r="P53" s="1"/>
      <c r="Q53" s="1"/>
      <c r="R53" s="1"/>
      <c r="S53" s="1"/>
      <c r="T53" s="1"/>
      <c r="U53" s="1"/>
      <c r="V53" s="1"/>
      <c r="W53" s="1"/>
      <c r="X53" s="1"/>
      <c r="Y53" s="1"/>
      <c r="Z53" s="1"/>
    </row>
    <row r="54" spans="1:26" ht="31.5" customHeight="1" x14ac:dyDescent="0.2">
      <c r="A54" s="7"/>
      <c r="B54" s="81"/>
      <c r="C54" s="76"/>
      <c r="D54" s="2"/>
      <c r="E54" s="2"/>
      <c r="F54" s="2"/>
      <c r="G54" s="2"/>
      <c r="H54" s="2"/>
      <c r="I54" s="2"/>
      <c r="J54" s="2"/>
      <c r="K54" s="1"/>
      <c r="L54" s="1"/>
      <c r="M54" s="1"/>
      <c r="N54" s="1"/>
      <c r="O54" s="1"/>
      <c r="P54" s="1"/>
      <c r="Q54" s="1"/>
      <c r="R54" s="1"/>
      <c r="S54" s="1"/>
      <c r="T54" s="1"/>
      <c r="U54" s="1"/>
      <c r="V54" s="1"/>
      <c r="W54" s="1"/>
      <c r="X54" s="1"/>
      <c r="Y54" s="1"/>
      <c r="Z54" s="1"/>
    </row>
    <row r="55" spans="1:26" ht="15.75" customHeight="1" x14ac:dyDescent="0.2">
      <c r="A55" s="7"/>
      <c r="B55" s="81"/>
      <c r="C55" s="76"/>
      <c r="D55" s="2"/>
      <c r="E55" s="2"/>
      <c r="F55" s="2"/>
      <c r="G55" s="2"/>
      <c r="H55" s="2"/>
      <c r="I55" s="2"/>
      <c r="J55" s="2"/>
      <c r="K55" s="1"/>
      <c r="L55" s="1"/>
      <c r="M55" s="1"/>
      <c r="N55" s="1"/>
      <c r="O55" s="1"/>
      <c r="P55" s="1"/>
      <c r="Q55" s="1"/>
      <c r="R55" s="1"/>
      <c r="S55" s="1"/>
      <c r="T55" s="1"/>
      <c r="U55" s="1"/>
      <c r="V55" s="1"/>
      <c r="W55" s="1"/>
      <c r="X55" s="1"/>
      <c r="Y55" s="1"/>
      <c r="Z55" s="1"/>
    </row>
    <row r="56" spans="1:26" ht="31.5" customHeight="1" x14ac:dyDescent="0.2">
      <c r="A56" s="7" t="s">
        <v>65</v>
      </c>
      <c r="B56" s="7" t="s">
        <v>66</v>
      </c>
      <c r="C56" s="7"/>
      <c r="D56" s="2"/>
      <c r="E56" s="2"/>
      <c r="F56" s="2"/>
      <c r="G56" s="2"/>
      <c r="H56" s="2"/>
      <c r="I56" s="2"/>
      <c r="J56" s="2"/>
      <c r="K56" s="1"/>
      <c r="L56" s="1"/>
      <c r="M56" s="1"/>
      <c r="N56" s="1"/>
      <c r="O56" s="1"/>
      <c r="P56" s="1"/>
      <c r="Q56" s="1"/>
      <c r="R56" s="1"/>
      <c r="S56" s="1"/>
      <c r="T56" s="1"/>
      <c r="U56" s="1"/>
      <c r="V56" s="1"/>
      <c r="W56" s="1"/>
      <c r="X56" s="1"/>
      <c r="Y56" s="1"/>
      <c r="Z56" s="1"/>
    </row>
    <row r="57" spans="1:26" ht="15.75" customHeight="1" x14ac:dyDescent="0.2">
      <c r="A57" s="2"/>
      <c r="B57" s="2"/>
      <c r="C57" s="2"/>
      <c r="D57" s="2"/>
      <c r="E57" s="2"/>
      <c r="F57" s="2"/>
      <c r="G57" s="2"/>
      <c r="H57" s="2"/>
      <c r="I57" s="2"/>
      <c r="J57" s="2"/>
      <c r="K57" s="1"/>
      <c r="L57" s="1"/>
      <c r="M57" s="1"/>
      <c r="N57" s="1"/>
      <c r="O57" s="1"/>
      <c r="P57" s="1"/>
      <c r="Q57" s="1"/>
      <c r="R57" s="1"/>
      <c r="S57" s="1"/>
      <c r="T57" s="1"/>
      <c r="U57" s="1"/>
      <c r="V57" s="1"/>
      <c r="W57" s="1"/>
      <c r="X57" s="1"/>
      <c r="Y57" s="1"/>
      <c r="Z57" s="1"/>
    </row>
    <row r="58" spans="1:26" ht="15.75" customHeight="1" x14ac:dyDescent="0.2">
      <c r="A58" s="2"/>
      <c r="B58" s="2"/>
      <c r="C58" s="2"/>
      <c r="D58" s="2"/>
      <c r="E58" s="2"/>
      <c r="F58" s="2"/>
      <c r="G58" s="2"/>
      <c r="H58" s="2"/>
      <c r="I58" s="2"/>
      <c r="J58" s="2"/>
      <c r="K58" s="1"/>
      <c r="L58" s="1"/>
      <c r="M58" s="1"/>
      <c r="N58" s="1"/>
      <c r="O58" s="1"/>
      <c r="P58" s="1"/>
      <c r="Q58" s="1"/>
      <c r="R58" s="1"/>
      <c r="S58" s="1"/>
      <c r="T58" s="1"/>
      <c r="U58" s="1"/>
      <c r="V58" s="1"/>
      <c r="W58" s="1"/>
      <c r="X58" s="1"/>
      <c r="Y58" s="1"/>
      <c r="Z58" s="1"/>
    </row>
    <row r="59" spans="1:26" ht="15.75" customHeight="1" x14ac:dyDescent="0.2">
      <c r="A59" s="79" t="s">
        <v>67</v>
      </c>
      <c r="B59" s="76"/>
      <c r="C59" s="76"/>
      <c r="D59" s="76"/>
      <c r="E59" s="76"/>
      <c r="F59" s="76"/>
      <c r="G59" s="76"/>
      <c r="H59" s="76"/>
      <c r="I59" s="76"/>
      <c r="J59" s="76"/>
      <c r="K59" s="1"/>
      <c r="L59" s="1"/>
      <c r="M59" s="1"/>
      <c r="N59" s="1"/>
      <c r="O59" s="1"/>
      <c r="P59" s="1"/>
      <c r="Q59" s="1"/>
      <c r="R59" s="1"/>
      <c r="S59" s="1"/>
      <c r="T59" s="1"/>
      <c r="U59" s="1"/>
      <c r="V59" s="1"/>
      <c r="W59" s="1"/>
      <c r="X59" s="1"/>
      <c r="Y59" s="1"/>
      <c r="Z59" s="1"/>
    </row>
    <row r="60" spans="1:26" ht="24" customHeight="1" x14ac:dyDescent="0.2">
      <c r="A60" s="80" t="s">
        <v>68</v>
      </c>
      <c r="B60" s="76"/>
      <c r="C60" s="76"/>
      <c r="D60" s="76"/>
      <c r="E60" s="76"/>
      <c r="F60" s="76"/>
      <c r="G60" s="76"/>
      <c r="H60" s="76"/>
      <c r="I60" s="76"/>
      <c r="J60" s="76"/>
      <c r="K60" s="1"/>
      <c r="L60" s="1"/>
      <c r="M60" s="1"/>
      <c r="N60" s="1"/>
      <c r="O60" s="1"/>
      <c r="P60" s="1"/>
      <c r="Q60" s="1"/>
      <c r="R60" s="1"/>
      <c r="S60" s="1"/>
      <c r="T60" s="1"/>
      <c r="U60" s="1"/>
      <c r="V60" s="1"/>
      <c r="W60" s="1"/>
      <c r="X60" s="1"/>
      <c r="Y60" s="1"/>
      <c r="Z60" s="1"/>
    </row>
    <row r="61" spans="1:26" ht="24" customHeight="1" x14ac:dyDescent="0.2">
      <c r="A61" s="76"/>
      <c r="B61" s="76"/>
      <c r="C61" s="76"/>
      <c r="D61" s="76"/>
      <c r="E61" s="76"/>
      <c r="F61" s="76"/>
      <c r="G61" s="76"/>
      <c r="H61" s="76"/>
      <c r="I61" s="76"/>
      <c r="J61" s="76"/>
      <c r="K61" s="1"/>
      <c r="L61" s="1"/>
      <c r="M61" s="1"/>
      <c r="N61" s="1"/>
      <c r="O61" s="1"/>
      <c r="P61" s="1"/>
      <c r="Q61" s="1"/>
      <c r="R61" s="1"/>
      <c r="S61" s="1"/>
      <c r="T61" s="1"/>
      <c r="U61" s="1"/>
      <c r="V61" s="1"/>
      <c r="W61" s="1"/>
      <c r="X61" s="1"/>
      <c r="Y61" s="1"/>
      <c r="Z61" s="1"/>
    </row>
    <row r="62" spans="1:26" ht="24" customHeight="1" x14ac:dyDescent="0.2">
      <c r="A62" s="76"/>
      <c r="B62" s="76"/>
      <c r="C62" s="76"/>
      <c r="D62" s="76"/>
      <c r="E62" s="76"/>
      <c r="F62" s="76"/>
      <c r="G62" s="76"/>
      <c r="H62" s="76"/>
      <c r="I62" s="76"/>
      <c r="J62" s="76"/>
      <c r="K62" s="1"/>
      <c r="L62" s="1"/>
      <c r="M62" s="1"/>
      <c r="N62" s="1"/>
      <c r="O62" s="1"/>
      <c r="P62" s="1"/>
      <c r="Q62" s="1"/>
      <c r="R62" s="1"/>
      <c r="S62" s="1"/>
      <c r="T62" s="1"/>
      <c r="U62" s="1"/>
      <c r="V62" s="1"/>
      <c r="W62" s="1"/>
      <c r="X62" s="1"/>
      <c r="Y62" s="1"/>
      <c r="Z62" s="1"/>
    </row>
    <row r="63" spans="1:26" ht="24" customHeight="1" x14ac:dyDescent="0.2">
      <c r="A63" s="76"/>
      <c r="B63" s="76"/>
      <c r="C63" s="76"/>
      <c r="D63" s="76"/>
      <c r="E63" s="76"/>
      <c r="F63" s="76"/>
      <c r="G63" s="76"/>
      <c r="H63" s="76"/>
      <c r="I63" s="76"/>
      <c r="J63" s="76"/>
      <c r="K63" s="1"/>
      <c r="L63" s="1"/>
      <c r="M63" s="1"/>
      <c r="N63" s="1"/>
      <c r="O63" s="1"/>
      <c r="P63" s="1"/>
      <c r="Q63" s="1"/>
      <c r="R63" s="1"/>
      <c r="S63" s="1"/>
      <c r="T63" s="1"/>
      <c r="U63" s="1"/>
      <c r="V63" s="1"/>
      <c r="W63" s="1"/>
      <c r="X63" s="1"/>
      <c r="Y63" s="1"/>
      <c r="Z63" s="1"/>
    </row>
    <row r="64" spans="1:26" ht="15.75" customHeight="1" x14ac:dyDescent="0.2">
      <c r="A64" s="2"/>
      <c r="B64" s="2"/>
      <c r="C64" s="2"/>
      <c r="D64" s="2"/>
      <c r="E64" s="2"/>
      <c r="F64" s="2"/>
      <c r="G64" s="2"/>
      <c r="H64" s="2"/>
      <c r="I64" s="2"/>
      <c r="J64" s="2"/>
      <c r="K64" s="1"/>
      <c r="L64" s="1"/>
      <c r="M64" s="1"/>
      <c r="N64" s="1"/>
      <c r="O64" s="1"/>
      <c r="P64" s="1"/>
      <c r="Q64" s="1"/>
      <c r="R64" s="1"/>
      <c r="S64" s="1"/>
      <c r="T64" s="1"/>
      <c r="U64" s="1"/>
      <c r="V64" s="1"/>
      <c r="W64" s="1"/>
      <c r="X64" s="1"/>
      <c r="Y64" s="1"/>
      <c r="Z64" s="1"/>
    </row>
    <row r="65" spans="1:26" ht="31.5" customHeight="1" x14ac:dyDescent="0.2">
      <c r="A65" s="21" t="s">
        <v>69</v>
      </c>
      <c r="B65" s="21" t="s">
        <v>32</v>
      </c>
      <c r="C65" s="21" t="s">
        <v>72</v>
      </c>
      <c r="D65" s="21" t="s">
        <v>71</v>
      </c>
      <c r="E65" s="21" t="s">
        <v>70</v>
      </c>
      <c r="F65" s="6" t="s">
        <v>73</v>
      </c>
      <c r="G65" s="6" t="s">
        <v>74</v>
      </c>
      <c r="H65" s="2"/>
      <c r="I65" s="2"/>
      <c r="J65" s="2"/>
      <c r="K65" s="1"/>
      <c r="L65" s="1"/>
      <c r="M65" s="1"/>
      <c r="N65" s="1"/>
      <c r="O65" s="1"/>
      <c r="P65" s="1"/>
      <c r="Q65" s="1"/>
      <c r="R65" s="1"/>
      <c r="S65" s="1"/>
      <c r="T65" s="1"/>
      <c r="U65" s="1"/>
      <c r="V65" s="1"/>
      <c r="W65" s="1"/>
      <c r="X65" s="1"/>
      <c r="Y65" s="1"/>
      <c r="Z65" s="1"/>
    </row>
    <row r="66" spans="1:26" ht="15.75" customHeight="1" x14ac:dyDescent="0.2">
      <c r="A66" s="22" t="s">
        <v>75</v>
      </c>
      <c r="B66" s="7" t="str">
        <f>'Scoring Backend'!$B$12</f>
        <v>Human-Led</v>
      </c>
      <c r="C66" s="56">
        <v>0.4</v>
      </c>
      <c r="D66" s="56">
        <v>0.3</v>
      </c>
      <c r="E66" s="56">
        <v>0.3</v>
      </c>
      <c r="F66" s="7" t="s">
        <v>76</v>
      </c>
      <c r="G66" s="7" t="s">
        <v>77</v>
      </c>
      <c r="H66" s="2"/>
      <c r="I66" s="2"/>
      <c r="J66" s="2"/>
      <c r="K66" s="1"/>
      <c r="L66" s="1"/>
      <c r="M66" s="1"/>
      <c r="N66" s="1"/>
      <c r="O66" s="1"/>
      <c r="P66" s="1"/>
      <c r="Q66" s="1"/>
      <c r="R66" s="1"/>
      <c r="S66" s="1"/>
      <c r="T66" s="1"/>
      <c r="U66" s="1"/>
      <c r="V66" s="1"/>
      <c r="W66" s="1"/>
      <c r="X66" s="1"/>
      <c r="Y66" s="1"/>
      <c r="Z66" s="1"/>
    </row>
    <row r="67" spans="1:26" ht="15.75" customHeight="1" x14ac:dyDescent="0.2">
      <c r="A67" s="22" t="s">
        <v>78</v>
      </c>
      <c r="B67" s="57">
        <f>'Scoring Backend'!$B$13</f>
        <v>0.4</v>
      </c>
      <c r="C67" s="56">
        <v>0.3</v>
      </c>
      <c r="D67" s="56">
        <v>0.4</v>
      </c>
      <c r="E67" s="56">
        <v>0.3</v>
      </c>
      <c r="F67" s="7"/>
      <c r="G67" s="7"/>
      <c r="H67" s="2"/>
      <c r="I67" s="2"/>
      <c r="J67" s="2"/>
      <c r="K67" s="1"/>
      <c r="L67" s="1"/>
      <c r="M67" s="1"/>
      <c r="N67" s="1"/>
      <c r="O67" s="1"/>
      <c r="P67" s="1"/>
      <c r="Q67" s="1"/>
      <c r="R67" s="1"/>
      <c r="S67" s="1"/>
      <c r="T67" s="1"/>
      <c r="U67" s="1"/>
      <c r="V67" s="1"/>
      <c r="W67" s="1"/>
      <c r="X67" s="1"/>
      <c r="Y67" s="1"/>
      <c r="Z67" s="1"/>
    </row>
    <row r="68" spans="1:26" ht="15.75" customHeight="1" x14ac:dyDescent="0.2">
      <c r="A68" s="22" t="s">
        <v>79</v>
      </c>
      <c r="B68" s="57">
        <f>'Scoring Backend'!$B$14</f>
        <v>0.3</v>
      </c>
      <c r="C68" s="56">
        <v>0.3</v>
      </c>
      <c r="D68" s="56">
        <v>0.3</v>
      </c>
      <c r="E68" s="56">
        <v>0.4</v>
      </c>
      <c r="F68" s="7"/>
      <c r="G68" s="7"/>
      <c r="H68" s="2"/>
      <c r="I68" s="2"/>
      <c r="J68" s="2"/>
      <c r="K68" s="1"/>
      <c r="L68" s="1"/>
      <c r="M68" s="1"/>
      <c r="N68" s="1"/>
      <c r="O68" s="1"/>
      <c r="P68" s="1"/>
      <c r="Q68" s="1"/>
      <c r="R68" s="1"/>
      <c r="S68" s="1"/>
      <c r="T68" s="1"/>
      <c r="U68" s="1"/>
      <c r="V68" s="1"/>
      <c r="W68" s="1"/>
      <c r="X68" s="1"/>
      <c r="Y68" s="1"/>
      <c r="Z68" s="1"/>
    </row>
    <row r="69" spans="1:26" ht="48" customHeight="1" x14ac:dyDescent="0.2">
      <c r="A69" s="7" t="s">
        <v>80</v>
      </c>
      <c r="B69" s="81"/>
      <c r="C69" s="76"/>
      <c r="D69" s="76"/>
      <c r="E69" s="76"/>
      <c r="F69" s="7" t="s">
        <v>81</v>
      </c>
      <c r="G69" s="24" t="s">
        <v>82</v>
      </c>
      <c r="H69" s="2"/>
      <c r="I69" s="2"/>
      <c r="J69" s="2"/>
      <c r="K69" s="1"/>
      <c r="L69" s="1"/>
      <c r="M69" s="1"/>
      <c r="N69" s="1"/>
      <c r="O69" s="1"/>
      <c r="P69" s="1"/>
      <c r="Q69" s="1"/>
      <c r="R69" s="1"/>
      <c r="S69" s="1"/>
      <c r="T69" s="1"/>
      <c r="U69" s="1"/>
      <c r="V69" s="1"/>
      <c r="W69" s="1"/>
      <c r="X69" s="1"/>
      <c r="Y69" s="1"/>
      <c r="Z69" s="1"/>
    </row>
    <row r="70" spans="1:26" ht="15.75" customHeight="1" x14ac:dyDescent="0.2">
      <c r="A70" s="2"/>
      <c r="B70" s="2"/>
      <c r="C70" s="2"/>
      <c r="D70" s="2"/>
      <c r="E70" s="2"/>
      <c r="F70" s="2"/>
      <c r="G70" s="2"/>
      <c r="H70" s="2"/>
      <c r="I70" s="2"/>
      <c r="J70" s="2"/>
      <c r="K70" s="1"/>
      <c r="L70" s="1"/>
      <c r="M70" s="1"/>
      <c r="N70" s="1"/>
      <c r="O70" s="1"/>
      <c r="P70" s="1"/>
      <c r="Q70" s="1"/>
      <c r="R70" s="1"/>
      <c r="S70" s="1"/>
      <c r="T70" s="1"/>
      <c r="U70" s="1"/>
      <c r="V70" s="1"/>
      <c r="W70" s="1"/>
      <c r="X70" s="1"/>
      <c r="Y70" s="1"/>
      <c r="Z70" s="1"/>
    </row>
    <row r="71" spans="1:26" ht="15.75" customHeight="1" x14ac:dyDescent="0.2">
      <c r="A71" s="2"/>
      <c r="B71" s="2"/>
      <c r="C71" s="2"/>
      <c r="D71" s="2"/>
      <c r="E71" s="2"/>
      <c r="F71" s="2"/>
      <c r="G71" s="2"/>
      <c r="H71" s="2"/>
      <c r="I71" s="2"/>
      <c r="J71" s="2"/>
      <c r="K71" s="1"/>
      <c r="L71" s="1"/>
      <c r="M71" s="1"/>
      <c r="N71" s="1"/>
      <c r="O71" s="1"/>
      <c r="P71" s="1"/>
      <c r="Q71" s="1"/>
      <c r="R71" s="1"/>
      <c r="S71" s="1"/>
      <c r="T71" s="1"/>
      <c r="U71" s="1"/>
      <c r="V71" s="1"/>
      <c r="W71" s="1"/>
      <c r="X71" s="1"/>
      <c r="Y71" s="1"/>
      <c r="Z71" s="1"/>
    </row>
    <row r="72" spans="1:26" ht="15.75" customHeight="1" x14ac:dyDescent="0.2">
      <c r="A72" s="8" t="s">
        <v>83</v>
      </c>
      <c r="B72" s="8" t="s">
        <v>47</v>
      </c>
      <c r="C72" s="8" t="s">
        <v>48</v>
      </c>
      <c r="D72" s="8" t="s">
        <v>75</v>
      </c>
      <c r="E72" s="8" t="s">
        <v>78</v>
      </c>
      <c r="F72" s="8" t="s">
        <v>79</v>
      </c>
      <c r="G72" s="8" t="s">
        <v>84</v>
      </c>
      <c r="H72" s="7"/>
      <c r="I72" s="8" t="s">
        <v>85</v>
      </c>
      <c r="J72" s="8" t="s">
        <v>86</v>
      </c>
      <c r="K72" s="1"/>
      <c r="L72" s="1"/>
      <c r="M72" s="1"/>
      <c r="N72" s="1"/>
      <c r="O72" s="1"/>
      <c r="P72" s="1"/>
      <c r="Q72" s="1"/>
      <c r="R72" s="1"/>
      <c r="S72" s="1"/>
      <c r="T72" s="1"/>
      <c r="U72" s="1"/>
      <c r="V72" s="1"/>
      <c r="W72" s="1"/>
      <c r="X72" s="1"/>
      <c r="Y72" s="1"/>
      <c r="Z72" s="1"/>
    </row>
    <row r="73" spans="1:26" ht="15.75" customHeight="1" x14ac:dyDescent="0.2">
      <c r="A73" s="7" t="s">
        <v>51</v>
      </c>
      <c r="B73" s="20"/>
      <c r="C73" s="7" t="s">
        <v>52</v>
      </c>
      <c r="D73" s="7">
        <v>0</v>
      </c>
      <c r="E73" s="7">
        <v>0</v>
      </c>
      <c r="F73" s="7">
        <v>0</v>
      </c>
      <c r="G73" s="12">
        <f>$B$73*'Scoring Backend'!$B$4</f>
        <v>0</v>
      </c>
      <c r="H73" s="7"/>
      <c r="I73" s="7"/>
      <c r="J73" s="12"/>
      <c r="K73" s="1"/>
      <c r="L73" s="1"/>
      <c r="M73" s="1"/>
      <c r="N73" s="1"/>
      <c r="O73" s="1"/>
      <c r="P73" s="1"/>
      <c r="Q73" s="1"/>
      <c r="R73" s="1"/>
      <c r="S73" s="1"/>
      <c r="T73" s="1"/>
      <c r="U73" s="1"/>
      <c r="V73" s="1"/>
      <c r="W73" s="1"/>
      <c r="X73" s="1"/>
      <c r="Y73" s="1"/>
      <c r="Z73" s="1"/>
    </row>
    <row r="74" spans="1:26" ht="15.75" customHeight="1" x14ac:dyDescent="0.2">
      <c r="A74" s="7" t="s">
        <v>53</v>
      </c>
      <c r="B74" s="20"/>
      <c r="C74" s="7" t="s">
        <v>54</v>
      </c>
      <c r="D74" s="7">
        <v>0</v>
      </c>
      <c r="E74" s="7">
        <v>0</v>
      </c>
      <c r="F74" s="7">
        <v>0</v>
      </c>
      <c r="G74" s="12">
        <f>$B$74*'Scoring Backend'!$B$5</f>
        <v>0</v>
      </c>
      <c r="H74" s="7"/>
      <c r="I74" s="7" t="s">
        <v>87</v>
      </c>
      <c r="J74" s="12">
        <f>$B$73*'Scoring Backend'!$C$4 + $B$75*'Scoring Backend'!$C$6 + $B$76*'Scoring Backend'!$C$7 + $B$77*'Scoring Backend'!$C$8</f>
        <v>0</v>
      </c>
      <c r="K74" s="1"/>
      <c r="L74" s="1"/>
      <c r="M74" s="1"/>
      <c r="N74" s="1"/>
      <c r="O74" s="1"/>
      <c r="P74" s="1"/>
      <c r="Q74" s="1"/>
      <c r="R74" s="1"/>
      <c r="S74" s="1"/>
      <c r="T74" s="1"/>
      <c r="U74" s="1"/>
      <c r="V74" s="1"/>
      <c r="W74" s="1"/>
      <c r="X74" s="1"/>
      <c r="Y74" s="1"/>
      <c r="Z74" s="1"/>
    </row>
    <row r="75" spans="1:26" ht="15.75" customHeight="1" x14ac:dyDescent="0.2">
      <c r="A75" s="7" t="s">
        <v>55</v>
      </c>
      <c r="B75" s="20"/>
      <c r="C75" s="7" t="s">
        <v>201</v>
      </c>
      <c r="D75" s="7">
        <f>'Scoring Backend'!$H$12</f>
        <v>5</v>
      </c>
      <c r="E75" s="7">
        <f>'Scoring Backend'!$I$12</f>
        <v>5</v>
      </c>
      <c r="F75" s="7">
        <f>'Scoring Backend'!$J$12</f>
        <v>8</v>
      </c>
      <c r="G75" s="12">
        <f>$B$75*'Scoring Backend'!$B$6</f>
        <v>0</v>
      </c>
      <c r="H75" s="7"/>
      <c r="I75" s="7" t="s">
        <v>200</v>
      </c>
      <c r="J75" s="12">
        <f>$B$75*'Scoring Backend'!$G$4 + $B$76*'Scoring Backend'!$G$5 + $B$77*'Scoring Backend'!$G$6</f>
        <v>0</v>
      </c>
      <c r="K75" s="1"/>
      <c r="L75" s="1"/>
      <c r="M75" s="1"/>
      <c r="N75" s="1"/>
      <c r="O75" s="1"/>
      <c r="P75" s="1"/>
      <c r="Q75" s="1"/>
      <c r="R75" s="1"/>
      <c r="S75" s="1"/>
      <c r="T75" s="1"/>
      <c r="U75" s="1"/>
      <c r="V75" s="1"/>
      <c r="W75" s="1"/>
      <c r="X75" s="1"/>
      <c r="Y75" s="1"/>
      <c r="Z75" s="1"/>
    </row>
    <row r="76" spans="1:26" ht="15.75" customHeight="1" x14ac:dyDescent="0.2">
      <c r="A76" s="7" t="s">
        <v>56</v>
      </c>
      <c r="B76" s="20"/>
      <c r="C76" s="7" t="s">
        <v>203</v>
      </c>
      <c r="D76" s="7">
        <f>'Scoring Backend'!$H$13</f>
        <v>10</v>
      </c>
      <c r="E76" s="7">
        <f>'Scoring Backend'!$I$13</f>
        <v>10</v>
      </c>
      <c r="F76" s="7">
        <f>'Scoring Backend'!$J$13</f>
        <v>12</v>
      </c>
      <c r="G76" s="12">
        <f>$B$76*'Scoring Backend'!$B$7</f>
        <v>0</v>
      </c>
      <c r="H76" s="7"/>
      <c r="I76" s="7" t="s">
        <v>202</v>
      </c>
      <c r="J76" s="12" t="str">
        <f>IF(COUNTA($B$69,$B$73:$B$77)=0,"Status",IF($B$74&gt;=J75,"PASS","FAIL"))</f>
        <v>Status</v>
      </c>
      <c r="K76" s="1"/>
      <c r="L76" s="1"/>
      <c r="M76" s="1"/>
      <c r="N76" s="1"/>
      <c r="O76" s="1"/>
      <c r="P76" s="1"/>
      <c r="Q76" s="1"/>
      <c r="R76" s="1"/>
      <c r="S76" s="1"/>
      <c r="T76" s="1"/>
      <c r="U76" s="1"/>
      <c r="V76" s="1"/>
      <c r="W76" s="1"/>
      <c r="X76" s="1"/>
      <c r="Y76" s="1"/>
      <c r="Z76" s="1"/>
    </row>
    <row r="77" spans="1:26" ht="15.75" customHeight="1" x14ac:dyDescent="0.2">
      <c r="A77" s="7" t="s">
        <v>58</v>
      </c>
      <c r="B77" s="7"/>
      <c r="C77" s="7" t="s">
        <v>204</v>
      </c>
      <c r="D77" s="7">
        <f>'Scoring Backend'!$H$14</f>
        <v>18</v>
      </c>
      <c r="E77" s="7">
        <f>'Scoring Backend'!$I$14</f>
        <v>8</v>
      </c>
      <c r="F77" s="7">
        <f>'Scoring Backend'!$J$14</f>
        <v>18</v>
      </c>
      <c r="G77" s="7">
        <f>$B$77*'Scoring Backend'!$B$8</f>
        <v>0</v>
      </c>
      <c r="H77" s="7"/>
      <c r="I77" s="7" t="s">
        <v>57</v>
      </c>
      <c r="J77" s="12" t="str">
        <f>IF(COUNTA($B$69,$B$73:$B$77)=0,"Status",IF(J74&gt;='Scoring Backend'!$B$20,"PASS","FAIL"))</f>
        <v>Status</v>
      </c>
      <c r="K77" s="1"/>
      <c r="L77" s="1"/>
      <c r="M77" s="1"/>
      <c r="N77" s="1"/>
      <c r="O77" s="1"/>
      <c r="P77" s="1"/>
      <c r="Q77" s="1"/>
      <c r="R77" s="1"/>
      <c r="S77" s="1"/>
      <c r="T77" s="1"/>
      <c r="U77" s="1"/>
      <c r="V77" s="1"/>
      <c r="W77" s="1"/>
      <c r="X77" s="1"/>
      <c r="Y77" s="1"/>
      <c r="Z77" s="1"/>
    </row>
    <row r="78" spans="1:26" ht="15.75" customHeight="1" x14ac:dyDescent="0.2">
      <c r="A78" s="7" t="s">
        <v>88</v>
      </c>
      <c r="B78" s="7"/>
      <c r="C78" s="7"/>
      <c r="D78" s="7"/>
      <c r="E78" s="7"/>
      <c r="F78" s="7"/>
      <c r="G78" s="7"/>
      <c r="H78" s="7"/>
      <c r="I78" s="7" t="s">
        <v>59</v>
      </c>
      <c r="J78" s="12">
        <f>SUM(G73:G77)</f>
        <v>0</v>
      </c>
      <c r="K78" s="1"/>
      <c r="L78" s="1"/>
      <c r="M78" s="1"/>
      <c r="N78" s="1"/>
      <c r="O78" s="1"/>
      <c r="P78" s="1"/>
      <c r="Q78" s="1"/>
      <c r="R78" s="1"/>
      <c r="S78" s="1"/>
      <c r="T78" s="1"/>
      <c r="U78" s="1"/>
      <c r="V78" s="1"/>
      <c r="W78" s="1"/>
      <c r="X78" s="1"/>
      <c r="Y78" s="1"/>
      <c r="Z78" s="1"/>
    </row>
    <row r="79" spans="1:26" ht="15.75" customHeight="1" x14ac:dyDescent="0.2">
      <c r="A79" s="26"/>
      <c r="B79" s="26"/>
      <c r="C79" s="26"/>
      <c r="D79" s="26"/>
      <c r="E79" s="26"/>
      <c r="F79" s="7"/>
      <c r="G79" s="7"/>
      <c r="H79" s="7"/>
      <c r="I79" s="7" t="s">
        <v>75</v>
      </c>
      <c r="J79" s="12" t="str">
        <f>IF(COUNTA($B$69,$B$73:$B$77)=0,"",MIN(100,'Scoring Backend'!$B$22+SUMPRODUCT($B$73:$B$77,$D$73:$D$77)))</f>
        <v/>
      </c>
      <c r="K79" s="1"/>
      <c r="L79" s="1"/>
      <c r="M79" s="1"/>
      <c r="N79" s="1"/>
      <c r="O79" s="1"/>
      <c r="P79" s="1"/>
      <c r="Q79" s="1"/>
      <c r="R79" s="1"/>
      <c r="S79" s="1"/>
      <c r="T79" s="1"/>
      <c r="U79" s="1"/>
      <c r="V79" s="1"/>
      <c r="W79" s="1"/>
      <c r="X79" s="1"/>
      <c r="Y79" s="1"/>
      <c r="Z79" s="1"/>
    </row>
    <row r="80" spans="1:26" ht="15.75" customHeight="1" x14ac:dyDescent="0.2">
      <c r="A80" s="26"/>
      <c r="B80" s="26"/>
      <c r="C80" s="26"/>
      <c r="D80" s="26"/>
      <c r="E80" s="26"/>
      <c r="F80" s="7"/>
      <c r="G80" s="7"/>
      <c r="H80" s="7"/>
      <c r="I80" s="7" t="s">
        <v>78</v>
      </c>
      <c r="J80" s="12" t="str">
        <f>IF(COUNTA($B$69,$B$73:$B$77)=0,"",MIN(100,'Scoring Backend'!$B$23+SUMPRODUCT($B$73:$B$77,$E$73:$E$77)))</f>
        <v/>
      </c>
      <c r="K80" s="1"/>
      <c r="L80" s="1"/>
      <c r="M80" s="1"/>
      <c r="N80" s="1"/>
      <c r="O80" s="1"/>
      <c r="P80" s="1"/>
      <c r="Q80" s="1"/>
      <c r="R80" s="1"/>
      <c r="S80" s="1"/>
      <c r="T80" s="1"/>
      <c r="U80" s="1"/>
      <c r="V80" s="1"/>
      <c r="W80" s="1"/>
      <c r="X80" s="1"/>
      <c r="Y80" s="1"/>
      <c r="Z80" s="1"/>
    </row>
    <row r="81" spans="1:26" ht="15.75" customHeight="1" x14ac:dyDescent="0.2">
      <c r="A81" s="26"/>
      <c r="B81" s="26"/>
      <c r="C81" s="26"/>
      <c r="D81" s="26"/>
      <c r="E81" s="26"/>
      <c r="F81" s="7"/>
      <c r="G81" s="7"/>
      <c r="H81" s="7"/>
      <c r="I81" s="7" t="s">
        <v>89</v>
      </c>
      <c r="J81" s="12" t="str">
        <f>IF(COUNTA($B$69,$B$73:$B$77)=0,"",MIN(100,'Scoring Backend'!$B$24+SUMPRODUCT($B$73:$B$77,$F$73:$F$77)))</f>
        <v/>
      </c>
      <c r="K81" s="1"/>
      <c r="L81" s="1"/>
      <c r="M81" s="1"/>
      <c r="N81" s="1"/>
      <c r="O81" s="1"/>
      <c r="P81" s="1"/>
      <c r="Q81" s="1"/>
      <c r="R81" s="1"/>
      <c r="S81" s="1"/>
      <c r="T81" s="1"/>
      <c r="U81" s="1"/>
      <c r="V81" s="1"/>
      <c r="W81" s="1"/>
      <c r="X81" s="1"/>
      <c r="Y81" s="1"/>
      <c r="Z81" s="1"/>
    </row>
    <row r="82" spans="1:26" ht="15.75" customHeight="1" x14ac:dyDescent="0.2">
      <c r="A82" s="7"/>
      <c r="B82" s="7"/>
      <c r="C82" s="7"/>
      <c r="D82" s="7"/>
      <c r="E82" s="7"/>
      <c r="F82" s="7"/>
      <c r="G82" s="7"/>
      <c r="H82" s="7"/>
      <c r="I82" s="7" t="s">
        <v>76</v>
      </c>
      <c r="J82" s="28" t="str">
        <f t="array" ref="J82">IF(OR($B$69="",COUNT($B$73:$B$77)=0),"",MAX(0,SUMPRODUCT($J$79:$J$81,INDEX($C$66:$E$68,0,MATCH($B$69,$C$65:$E$65,0)))-IF($J$89="Aligned",0,'Scoring Backend'!$G$26)))</f>
        <v/>
      </c>
      <c r="K82" s="1"/>
      <c r="L82" s="1"/>
      <c r="M82" s="1"/>
      <c r="N82" s="1"/>
      <c r="O82" s="1"/>
      <c r="P82" s="1"/>
      <c r="Q82" s="1"/>
      <c r="R82" s="1"/>
      <c r="S82" s="1"/>
      <c r="T82" s="1"/>
      <c r="U82" s="1"/>
      <c r="V82" s="1"/>
      <c r="W82" s="1"/>
      <c r="X82" s="1"/>
      <c r="Y82" s="1"/>
      <c r="Z82" s="1"/>
    </row>
    <row r="83" spans="1:26" ht="15.75" customHeight="1" x14ac:dyDescent="0.2">
      <c r="A83" s="7"/>
      <c r="B83" s="7"/>
      <c r="C83" s="7"/>
      <c r="D83" s="7"/>
      <c r="E83" s="7"/>
      <c r="F83" s="7"/>
      <c r="G83" s="7"/>
      <c r="H83" s="7"/>
      <c r="I83" s="7"/>
      <c r="J83" s="12"/>
      <c r="K83" s="1"/>
      <c r="L83" s="1"/>
      <c r="M83" s="1"/>
      <c r="N83" s="1"/>
      <c r="O83" s="1"/>
      <c r="P83" s="1"/>
      <c r="Q83" s="1"/>
      <c r="R83" s="1"/>
      <c r="S83" s="1"/>
      <c r="T83" s="1"/>
      <c r="U83" s="1"/>
      <c r="V83" s="1"/>
      <c r="W83" s="1"/>
      <c r="X83" s="1"/>
      <c r="Y83" s="1"/>
      <c r="Z83" s="1"/>
    </row>
    <row r="84" spans="1:26" ht="15.75" customHeight="1" x14ac:dyDescent="0.2">
      <c r="A84" s="7"/>
      <c r="B84" s="7"/>
      <c r="C84" s="7"/>
      <c r="D84" s="7"/>
      <c r="E84" s="7"/>
      <c r="F84" s="7"/>
      <c r="G84" s="7"/>
      <c r="H84" s="7"/>
      <c r="I84" s="29" t="s">
        <v>90</v>
      </c>
      <c r="J84" s="30" t="str">
        <f>IF(COUNT($B$73:$B$77)=0,"",IF(J74&lt;=0,"",'Scoring Backend'!$B$19/J74))</f>
        <v/>
      </c>
      <c r="K84" s="1"/>
      <c r="L84" s="1"/>
      <c r="M84" s="1"/>
      <c r="N84" s="1"/>
      <c r="O84" s="1"/>
      <c r="P84" s="1"/>
      <c r="Q84" s="1"/>
      <c r="R84" s="1"/>
      <c r="S84" s="1"/>
      <c r="T84" s="1"/>
      <c r="U84" s="1"/>
      <c r="V84" s="1"/>
      <c r="W84" s="1"/>
      <c r="X84" s="1"/>
      <c r="Y84" s="1"/>
      <c r="Z84" s="1"/>
    </row>
    <row r="85" spans="1:26" ht="15.75" customHeight="1" x14ac:dyDescent="0.2">
      <c r="A85" s="13" t="s">
        <v>60</v>
      </c>
      <c r="B85" s="14"/>
      <c r="C85" s="14"/>
      <c r="D85" s="7"/>
      <c r="E85" s="7"/>
      <c r="F85" s="7"/>
      <c r="G85" s="7"/>
      <c r="H85" s="7"/>
      <c r="I85" s="29" t="s">
        <v>64</v>
      </c>
      <c r="J85" s="29" t="str">
        <f>IF(COUNT($B$73:$B$77)=0,"",REPT("█",ROUND(MIN(1,J74/'Scoring Backend'!$B$20)*20,0))&amp;REPT("░",20-ROUND(MIN(1,J74/'Scoring Backend'!$B$20)*20,0))&amp;" "&amp;TEXT(J74/'Scoring Backend'!$B$20,"0%"))</f>
        <v/>
      </c>
      <c r="K85" s="1"/>
      <c r="L85" s="1"/>
      <c r="M85" s="1"/>
      <c r="N85" s="1"/>
      <c r="O85" s="1"/>
      <c r="P85" s="1"/>
      <c r="Q85" s="1"/>
      <c r="R85" s="1"/>
      <c r="S85" s="1"/>
      <c r="T85" s="1"/>
      <c r="U85" s="1"/>
      <c r="V85" s="1"/>
      <c r="W85" s="1"/>
      <c r="X85" s="1"/>
      <c r="Y85" s="1"/>
      <c r="Z85" s="1"/>
    </row>
    <row r="86" spans="1:26" ht="24" customHeight="1" x14ac:dyDescent="0.2">
      <c r="A86" s="17" t="str">
        <f>IF(COUNT($B$73:$B$77)=0,"",REPT("👷 ",MIN(N($B$73),12))&amp;IF(N($B$73)&gt;12,"+",""))</f>
        <v/>
      </c>
      <c r="B86" s="17" t="str">
        <f>IF(COUNT($B$73:$B$77)=0,"",REPT("🦺 ",MIN(N($B$74),12))&amp;IF(N($B$74)&gt;12,"+","")&amp;"  "&amp;REPT("🤖 ",MIN(SUM($B$75:$B$77),12))&amp;IF(SUM($B$75:$B$77)&gt;12,"+",""))</f>
        <v/>
      </c>
      <c r="C86" s="14" t="str">
        <f>IF(COUNT($B$73:$B$77)=0,"","Material Workers: "&amp;N($B$73)&amp;" | Support Workers: "&amp;N($B$74)&amp;" | Robots/Fleets: "&amp;SUM($B$75:$B$77))</f>
        <v/>
      </c>
      <c r="D86" s="7"/>
      <c r="E86" s="7"/>
      <c r="F86" s="7"/>
      <c r="G86" s="7"/>
      <c r="H86" s="7"/>
      <c r="I86" s="29" t="s">
        <v>91</v>
      </c>
      <c r="J86" s="31" t="str">
        <f>IF(COUNT($B$73:$B$77)=0,"",SUM($B$75:$B$77)/SUM($B$73:$B$77))</f>
        <v/>
      </c>
      <c r="K86" s="1"/>
      <c r="L86" s="1"/>
      <c r="M86" s="1"/>
      <c r="N86" s="1"/>
      <c r="O86" s="1"/>
      <c r="P86" s="1"/>
      <c r="Q86" s="1"/>
      <c r="R86" s="1"/>
      <c r="S86" s="1"/>
      <c r="T86" s="1"/>
      <c r="U86" s="1"/>
      <c r="V86" s="1"/>
      <c r="W86" s="1"/>
      <c r="X86" s="1"/>
      <c r="Y86" s="1"/>
      <c r="Z86" s="1"/>
    </row>
    <row r="87" spans="1:26" ht="15.75" customHeight="1" x14ac:dyDescent="0.2">
      <c r="A87" s="7"/>
      <c r="B87" s="7"/>
      <c r="C87" s="7"/>
      <c r="D87" s="7"/>
      <c r="E87" s="7"/>
      <c r="F87" s="7"/>
      <c r="G87" s="7"/>
      <c r="H87" s="7"/>
      <c r="I87" s="29" t="s">
        <v>92</v>
      </c>
      <c r="J87" s="32" t="str">
        <f>IF(COUNT($B$73:$B$77)=0,"",IFERROR(($B$75*'Scoring Backend'!$C$6+$B$76*'Scoring Backend'!$C$7+$B$77*'Scoring Backend'!$C$8)/J74,0))</f>
        <v/>
      </c>
      <c r="K87" s="1"/>
      <c r="L87" s="1"/>
      <c r="M87" s="1"/>
      <c r="N87" s="1"/>
      <c r="O87" s="1"/>
      <c r="P87" s="1"/>
      <c r="Q87" s="1"/>
      <c r="R87" s="1"/>
      <c r="S87" s="1"/>
      <c r="T87" s="1"/>
      <c r="U87" s="1"/>
      <c r="V87" s="1"/>
      <c r="W87" s="1"/>
      <c r="X87" s="1"/>
      <c r="Y87" s="1"/>
      <c r="Z87" s="1"/>
    </row>
    <row r="88" spans="1:26" ht="15.75" customHeight="1" x14ac:dyDescent="0.2">
      <c r="A88" s="7"/>
      <c r="B88" s="7"/>
      <c r="C88" s="7"/>
      <c r="D88" s="7"/>
      <c r="E88" s="7"/>
      <c r="F88" s="7"/>
      <c r="G88" s="7"/>
      <c r="H88" s="7"/>
      <c r="I88" s="29" t="s">
        <v>93</v>
      </c>
      <c r="J88" s="32" t="str">
        <f>IF(COUNT($B$73:$B$77)=0,"",IF(J74=0,"",IF(J87&lt;'Scoring Backend'!$G$22,"Human-Led",IF(J87&lt;='Scoring Backend'!$G$24,"Collaborative","Robot-Led"))))</f>
        <v/>
      </c>
      <c r="K88" s="1"/>
      <c r="L88" s="1"/>
      <c r="M88" s="1"/>
      <c r="N88" s="1"/>
      <c r="O88" s="1"/>
      <c r="P88" s="1"/>
      <c r="Q88" s="1"/>
      <c r="R88" s="1"/>
      <c r="S88" s="1"/>
      <c r="T88" s="1"/>
      <c r="U88" s="1"/>
      <c r="V88" s="1"/>
      <c r="W88" s="1"/>
      <c r="X88" s="1"/>
      <c r="Y88" s="1"/>
      <c r="Z88" s="1"/>
    </row>
    <row r="89" spans="1:26" ht="15.75" customHeight="1" x14ac:dyDescent="0.2">
      <c r="A89" s="7"/>
      <c r="B89" s="7"/>
      <c r="C89" s="7"/>
      <c r="D89" s="7"/>
      <c r="E89" s="7"/>
      <c r="F89" s="7"/>
      <c r="G89" s="7"/>
      <c r="H89" s="7"/>
      <c r="I89" s="29" t="s">
        <v>94</v>
      </c>
      <c r="J89" s="32" t="str">
        <f>IF(OR($B$69="",J88=""),"",IF($B$69=J88,"Aligned","Misaligned (-10 final score penalty)"))</f>
        <v/>
      </c>
      <c r="K89" s="1"/>
      <c r="L89" s="1"/>
      <c r="M89" s="1"/>
      <c r="N89" s="1"/>
      <c r="O89" s="1"/>
      <c r="P89" s="1"/>
      <c r="Q89" s="1"/>
      <c r="R89" s="1"/>
      <c r="S89" s="1"/>
      <c r="T89" s="1"/>
      <c r="U89" s="1"/>
      <c r="V89" s="1"/>
      <c r="W89" s="1"/>
      <c r="X89" s="1"/>
      <c r="Y89" s="1"/>
      <c r="Z89" s="1"/>
    </row>
    <row r="90" spans="1:26" ht="21.75" customHeight="1" x14ac:dyDescent="0.2">
      <c r="A90" s="2"/>
      <c r="B90" s="2"/>
      <c r="C90" s="2"/>
      <c r="D90" s="2"/>
      <c r="E90" s="2"/>
      <c r="F90" s="2"/>
      <c r="G90" s="2"/>
      <c r="H90" s="2"/>
      <c r="I90" s="83" t="s">
        <v>95</v>
      </c>
      <c r="J90" s="84"/>
      <c r="K90" s="84"/>
      <c r="L90" s="85"/>
      <c r="M90" s="1"/>
      <c r="N90" s="1"/>
      <c r="O90" s="1"/>
      <c r="P90" s="1"/>
      <c r="Q90" s="1"/>
      <c r="R90" s="1"/>
      <c r="S90" s="1"/>
      <c r="T90" s="1"/>
      <c r="U90" s="1"/>
      <c r="V90" s="1"/>
      <c r="W90" s="1"/>
      <c r="X90" s="1"/>
      <c r="Y90" s="1"/>
      <c r="Z90" s="1"/>
    </row>
    <row r="91" spans="1:26" ht="24" customHeight="1" x14ac:dyDescent="0.2">
      <c r="A91" s="2"/>
      <c r="B91" s="2"/>
      <c r="C91" s="2"/>
      <c r="D91" s="2"/>
      <c r="E91" s="2"/>
      <c r="F91" s="2"/>
      <c r="G91" s="2"/>
      <c r="H91" s="2"/>
      <c r="I91" s="33" t="s">
        <v>96</v>
      </c>
      <c r="J91" s="33" t="s">
        <v>97</v>
      </c>
      <c r="K91" s="33" t="s">
        <v>98</v>
      </c>
      <c r="L91" s="33" t="s">
        <v>99</v>
      </c>
      <c r="M91" s="1"/>
      <c r="N91" s="1"/>
      <c r="O91" s="1"/>
      <c r="P91" s="1"/>
      <c r="Q91" s="1"/>
      <c r="R91" s="1"/>
      <c r="S91" s="1"/>
      <c r="T91" s="1"/>
      <c r="U91" s="1"/>
      <c r="V91" s="1"/>
      <c r="W91" s="1"/>
      <c r="X91" s="1"/>
      <c r="Y91" s="1"/>
      <c r="Z91" s="1"/>
    </row>
    <row r="92" spans="1:26" ht="24" customHeight="1" x14ac:dyDescent="0.2">
      <c r="A92" s="2"/>
      <c r="B92" s="2"/>
      <c r="C92" s="2"/>
      <c r="D92" s="2"/>
      <c r="E92" s="2"/>
      <c r="F92" s="2"/>
      <c r="G92" s="2"/>
      <c r="H92" s="2"/>
      <c r="I92" s="34" t="s">
        <v>33</v>
      </c>
      <c r="J92" s="35" t="str">
        <f>IF(COUNT($B$73:$B$77)=0,"",$J$74)</f>
        <v/>
      </c>
      <c r="K92" s="36" t="str">
        <f>"&gt;= "&amp;'Scoring Backend'!$B$20&amp;" loads/day"</f>
        <v>&gt;= 20 loads/day</v>
      </c>
      <c r="L92" s="34" t="str">
        <f>IF(COUNTA($B$69,$B$73:$B$77)=0,"",IF($J$74&gt;='Scoring Backend'!$B$20,"PASS","FAIL"))</f>
        <v/>
      </c>
      <c r="M92" s="1"/>
      <c r="N92" s="1"/>
      <c r="O92" s="1"/>
      <c r="P92" s="1"/>
      <c r="Q92" s="1"/>
      <c r="R92" s="1"/>
      <c r="S92" s="1"/>
      <c r="T92" s="1"/>
      <c r="U92" s="1"/>
      <c r="V92" s="1"/>
      <c r="W92" s="1"/>
      <c r="X92" s="1"/>
      <c r="Y92" s="1"/>
      <c r="Z92" s="1"/>
    </row>
    <row r="93" spans="1:26" ht="24" customHeight="1" x14ac:dyDescent="0.2">
      <c r="A93" s="5" t="s">
        <v>100</v>
      </c>
      <c r="B93" s="1"/>
      <c r="C93" s="1"/>
      <c r="D93" s="1"/>
      <c r="E93" s="1"/>
      <c r="F93" s="1"/>
      <c r="G93" s="1"/>
      <c r="H93" s="1"/>
      <c r="I93" s="34" t="s">
        <v>101</v>
      </c>
      <c r="J93" s="37" t="str">
        <f>IF(COUNT($B$73:$B$77)=0,"",$J$78)</f>
        <v/>
      </c>
      <c r="K93" s="36" t="str">
        <f>"&lt;= "&amp;'Scoring Backend'!$G$18</f>
        <v>&lt;= 200</v>
      </c>
      <c r="L93" s="34" t="str">
        <f>IF(COUNTA($B$69,$B$73:$B$77)=0,"",IF($J$78&lt;='Scoring Backend'!$G$18,"PASS","FAIL"))</f>
        <v/>
      </c>
      <c r="M93" s="1"/>
      <c r="N93" s="1"/>
      <c r="O93" s="1"/>
      <c r="P93" s="1"/>
      <c r="Q93" s="1"/>
      <c r="R93" s="1"/>
      <c r="S93" s="1"/>
      <c r="T93" s="1"/>
      <c r="U93" s="1"/>
      <c r="V93" s="1"/>
      <c r="W93" s="1"/>
      <c r="X93" s="1"/>
      <c r="Y93" s="1"/>
      <c r="Z93" s="1"/>
    </row>
    <row r="94" spans="1:26" ht="24" customHeight="1" x14ac:dyDescent="0.2">
      <c r="A94" s="6" t="s">
        <v>102</v>
      </c>
      <c r="B94" s="6" t="s">
        <v>103</v>
      </c>
      <c r="C94" s="2"/>
      <c r="D94" s="2"/>
      <c r="E94" s="2"/>
      <c r="F94" s="2"/>
      <c r="G94" s="2"/>
      <c r="H94" s="2"/>
      <c r="I94" s="38" t="s">
        <v>75</v>
      </c>
      <c r="J94" s="39" t="str">
        <f>IF(COUNT($B$73:$B$77)=0,"",$J$79)</f>
        <v/>
      </c>
      <c r="K94" s="40" t="str">
        <f>"&gt;= "&amp;'Scoring Backend'!$G$20</f>
        <v>&gt;= 70</v>
      </c>
      <c r="L94" s="38" t="str">
        <f>IF(COUNTA($B$69,$B$73:$B$77)=0,"",IF($J$79&gt;='Scoring Backend'!$G$20,"PASS","FAIL"))</f>
        <v/>
      </c>
      <c r="M94" s="1"/>
      <c r="N94" s="1"/>
      <c r="O94" s="1"/>
      <c r="P94" s="1"/>
      <c r="Q94" s="1"/>
      <c r="R94" s="1"/>
      <c r="S94" s="1"/>
      <c r="T94" s="1"/>
      <c r="U94" s="1"/>
      <c r="V94" s="1"/>
      <c r="W94" s="1"/>
      <c r="X94" s="1"/>
      <c r="Y94" s="1"/>
      <c r="Z94" s="1"/>
    </row>
    <row r="95" spans="1:26" ht="24" customHeight="1" x14ac:dyDescent="0.2">
      <c r="A95" s="7" t="s">
        <v>104</v>
      </c>
      <c r="B95" s="7" t="s">
        <v>66</v>
      </c>
      <c r="C95" s="2"/>
      <c r="D95" s="2"/>
      <c r="E95" s="2"/>
      <c r="F95" s="2"/>
      <c r="G95" s="2"/>
      <c r="H95" s="2"/>
      <c r="I95" s="34" t="s">
        <v>78</v>
      </c>
      <c r="J95" s="37" t="str">
        <f>IF(COUNT($B$73:$B$77)=0,"",$J$80)</f>
        <v/>
      </c>
      <c r="K95" s="36" t="str">
        <f>"&gt;= "&amp;'Scoring Backend'!$G$19</f>
        <v>&gt;= 70</v>
      </c>
      <c r="L95" s="34" t="str">
        <f>IF(COUNTA($B$69,$B$73:$B$77)=0,"",IF($J$80&gt;='Scoring Backend'!$G$19,"PASS","FAIL"))</f>
        <v/>
      </c>
      <c r="M95" s="1"/>
      <c r="N95" s="1"/>
      <c r="O95" s="1"/>
      <c r="P95" s="1"/>
      <c r="Q95" s="1"/>
      <c r="R95" s="1"/>
      <c r="S95" s="1"/>
      <c r="T95" s="1"/>
      <c r="U95" s="1"/>
      <c r="V95" s="1"/>
      <c r="W95" s="1"/>
      <c r="X95" s="1"/>
      <c r="Y95" s="1"/>
      <c r="Z95" s="1"/>
    </row>
    <row r="96" spans="1:26" ht="24" customHeight="1" x14ac:dyDescent="0.2">
      <c r="A96" s="7" t="s">
        <v>105</v>
      </c>
      <c r="B96" s="7" t="s">
        <v>106</v>
      </c>
      <c r="C96" s="2"/>
      <c r="D96" s="2"/>
      <c r="E96" s="2"/>
      <c r="F96" s="2"/>
      <c r="G96" s="2"/>
      <c r="H96" s="2"/>
      <c r="I96" s="38" t="s">
        <v>89</v>
      </c>
      <c r="J96" s="39" t="str">
        <f>IF(COUNT($B$73:$B$77)=0,"",$J$81)</f>
        <v/>
      </c>
      <c r="K96" s="40" t="str">
        <f>"&gt;= "&amp;'Scoring Backend'!$G$21</f>
        <v>&gt;= 70</v>
      </c>
      <c r="L96" s="38" t="str">
        <f>IF(COUNTA($B$69,$B$73:$B$77)=0,"",IF($J$81&gt;='Scoring Backend'!$G$21,"PASS","FAIL"))</f>
        <v/>
      </c>
      <c r="M96" s="1"/>
      <c r="N96" s="1"/>
      <c r="O96" s="1"/>
      <c r="P96" s="1"/>
      <c r="Q96" s="1"/>
      <c r="R96" s="1"/>
      <c r="S96" s="1"/>
      <c r="T96" s="1"/>
      <c r="U96" s="1"/>
      <c r="V96" s="1"/>
      <c r="W96" s="1"/>
      <c r="X96" s="1"/>
      <c r="Y96" s="1"/>
      <c r="Z96" s="1"/>
    </row>
    <row r="97" spans="1:26" ht="27.75" customHeight="1" x14ac:dyDescent="0.2">
      <c r="A97" s="7" t="s">
        <v>107</v>
      </c>
      <c r="B97" s="7" t="s">
        <v>108</v>
      </c>
      <c r="C97" s="2"/>
      <c r="D97" s="2"/>
      <c r="E97" s="2"/>
      <c r="F97" s="2"/>
      <c r="G97" s="2"/>
      <c r="H97" s="2"/>
      <c r="I97" s="41" t="str">
        <f>IF(COUNTA($B$69,$B$73:$B$77)=0,"",IF(COUNTIF($L$92:$L$96,"FAIL")=0,"🟢 ELIGIBLE FOR FINAL COMPARISON","🔴 NOT ELIGIBLE - REVISE CONSTRAINTS"))</f>
        <v/>
      </c>
      <c r="J97" s="42"/>
      <c r="K97" s="42"/>
      <c r="L97" s="43"/>
      <c r="M97" s="1"/>
      <c r="N97" s="1"/>
      <c r="O97" s="1"/>
      <c r="P97" s="1"/>
      <c r="Q97" s="1"/>
      <c r="R97" s="1"/>
      <c r="S97" s="1"/>
      <c r="T97" s="1"/>
      <c r="U97" s="1"/>
      <c r="V97" s="1"/>
      <c r="W97" s="1"/>
      <c r="X97" s="1"/>
      <c r="Y97" s="1"/>
      <c r="Z97" s="1"/>
    </row>
    <row r="98" spans="1:26" ht="24" customHeight="1" x14ac:dyDescent="0.2">
      <c r="A98" s="2"/>
      <c r="B98" s="2"/>
      <c r="C98" s="2"/>
      <c r="D98" s="2"/>
      <c r="E98" s="2"/>
      <c r="F98" s="2"/>
      <c r="G98" s="2"/>
      <c r="H98" s="2"/>
      <c r="I98" s="86" t="s">
        <v>109</v>
      </c>
      <c r="J98" s="84"/>
      <c r="K98" s="84"/>
      <c r="L98" s="85"/>
      <c r="M98" s="1"/>
      <c r="N98" s="1"/>
      <c r="O98" s="1"/>
      <c r="P98" s="1"/>
      <c r="Q98" s="1"/>
      <c r="R98" s="1"/>
      <c r="S98" s="1"/>
      <c r="T98" s="1"/>
      <c r="U98" s="1"/>
      <c r="V98" s="1"/>
      <c r="W98" s="1"/>
      <c r="X98" s="1"/>
      <c r="Y98" s="1"/>
      <c r="Z98" s="1"/>
    </row>
    <row r="99" spans="1:26" ht="24" customHeight="1" x14ac:dyDescent="0.2">
      <c r="A99" s="2" t="s">
        <v>110</v>
      </c>
      <c r="B99" s="2"/>
      <c r="C99" s="2"/>
      <c r="D99" s="2"/>
      <c r="E99" s="2"/>
      <c r="F99" s="2"/>
      <c r="G99" s="2"/>
      <c r="H99" s="2"/>
      <c r="I99" s="87"/>
      <c r="J99" s="76"/>
      <c r="K99" s="76"/>
      <c r="L99" s="1"/>
      <c r="M99" s="1"/>
      <c r="N99" s="1"/>
      <c r="O99" s="1"/>
      <c r="P99" s="1"/>
      <c r="Q99" s="1"/>
      <c r="R99" s="1"/>
      <c r="S99" s="1"/>
      <c r="T99" s="1"/>
      <c r="U99" s="1"/>
      <c r="V99" s="1"/>
      <c r="W99" s="1"/>
      <c r="X99" s="1"/>
      <c r="Y99" s="1"/>
      <c r="Z99" s="1"/>
    </row>
    <row r="100" spans="1:26" ht="15.75" customHeight="1" x14ac:dyDescent="0.2">
      <c r="A100" s="5"/>
      <c r="B100" s="44"/>
      <c r="C100" s="44"/>
      <c r="D100" s="44"/>
      <c r="E100" s="44"/>
      <c r="F100" s="44"/>
      <c r="G100" s="44"/>
      <c r="H100" s="44"/>
      <c r="I100" s="44"/>
      <c r="J100" s="44"/>
      <c r="K100" s="1"/>
      <c r="L100" s="1"/>
      <c r="M100" s="1"/>
      <c r="N100" s="1"/>
      <c r="O100" s="1"/>
      <c r="P100" s="1"/>
      <c r="Q100" s="1"/>
      <c r="R100" s="1"/>
      <c r="S100" s="1"/>
      <c r="T100" s="1"/>
      <c r="U100" s="1"/>
      <c r="V100" s="1"/>
      <c r="W100" s="1"/>
      <c r="X100" s="1"/>
      <c r="Y100" s="1"/>
      <c r="Z100" s="1"/>
    </row>
    <row r="101" spans="1:26" ht="15.75" customHeight="1" x14ac:dyDescent="0.2">
      <c r="A101" s="88"/>
      <c r="B101" s="76"/>
      <c r="C101" s="76"/>
      <c r="D101" s="76"/>
      <c r="E101" s="76"/>
      <c r="F101" s="76"/>
      <c r="G101" s="76"/>
      <c r="H101" s="76"/>
      <c r="I101" s="76"/>
      <c r="J101" s="76"/>
      <c r="K101" s="1"/>
      <c r="L101" s="1"/>
      <c r="M101" s="1"/>
      <c r="N101" s="1"/>
      <c r="O101" s="1"/>
      <c r="P101" s="1"/>
      <c r="Q101" s="1"/>
      <c r="R101" s="1"/>
      <c r="S101" s="1"/>
      <c r="T101" s="1"/>
      <c r="U101" s="1"/>
      <c r="V101" s="1"/>
      <c r="W101" s="1"/>
      <c r="X101" s="1"/>
      <c r="Y101" s="1"/>
      <c r="Z101" s="1"/>
    </row>
    <row r="102" spans="1:26" ht="15.75" customHeight="1" x14ac:dyDescent="0.2">
      <c r="A102" s="7"/>
      <c r="B102" s="20"/>
      <c r="C102" s="2"/>
      <c r="D102" s="2"/>
      <c r="E102" s="2"/>
      <c r="F102" s="2"/>
      <c r="G102" s="2"/>
      <c r="H102" s="2"/>
      <c r="I102" s="2"/>
      <c r="J102" s="2"/>
      <c r="K102" s="1"/>
      <c r="L102" s="1"/>
      <c r="M102" s="1"/>
      <c r="N102" s="1"/>
      <c r="O102" s="1"/>
      <c r="P102" s="1"/>
      <c r="Q102" s="1"/>
      <c r="R102" s="1"/>
      <c r="S102" s="1"/>
      <c r="T102" s="1"/>
      <c r="U102" s="1"/>
      <c r="V102" s="1"/>
      <c r="W102" s="1"/>
      <c r="X102" s="1"/>
      <c r="Y102" s="1"/>
      <c r="Z102" s="1"/>
    </row>
    <row r="103" spans="1:26" ht="31.5" customHeight="1" x14ac:dyDescent="0.2">
      <c r="A103" s="7"/>
      <c r="B103" s="20"/>
      <c r="C103" s="2"/>
      <c r="D103" s="2"/>
      <c r="E103" s="2"/>
      <c r="F103" s="2"/>
      <c r="G103" s="2"/>
      <c r="H103" s="2"/>
      <c r="I103" s="2"/>
      <c r="J103" s="2"/>
      <c r="K103" s="1"/>
      <c r="L103" s="1"/>
      <c r="M103" s="1"/>
      <c r="N103" s="1"/>
      <c r="O103" s="1"/>
      <c r="P103" s="1"/>
      <c r="Q103" s="1"/>
      <c r="R103" s="1"/>
      <c r="S103" s="1"/>
      <c r="T103" s="1"/>
      <c r="U103" s="1"/>
      <c r="V103" s="1"/>
      <c r="W103" s="1"/>
      <c r="X103" s="1"/>
      <c r="Y103" s="1"/>
      <c r="Z103" s="1"/>
    </row>
    <row r="104" spans="1:26" ht="15.75" customHeight="1" x14ac:dyDescent="0.2">
      <c r="A104" s="7"/>
      <c r="B104" s="20"/>
      <c r="C104" s="2"/>
      <c r="D104" s="2"/>
      <c r="E104" s="2"/>
      <c r="F104" s="2"/>
      <c r="G104" s="2"/>
      <c r="H104" s="2"/>
      <c r="I104" s="2"/>
      <c r="J104" s="2"/>
      <c r="K104" s="1"/>
      <c r="L104" s="1"/>
      <c r="M104" s="1"/>
      <c r="N104" s="1"/>
      <c r="O104" s="1"/>
      <c r="P104" s="1"/>
      <c r="Q104" s="1"/>
      <c r="R104" s="1"/>
      <c r="S104" s="1"/>
      <c r="T104" s="1"/>
      <c r="U104" s="1"/>
      <c r="V104" s="1"/>
      <c r="W104" s="1"/>
      <c r="X104" s="1"/>
      <c r="Y104" s="1"/>
      <c r="Z104" s="1"/>
    </row>
    <row r="105" spans="1:26" ht="31.5" customHeight="1" x14ac:dyDescent="0.2">
      <c r="A105" s="7" t="s">
        <v>110</v>
      </c>
      <c r="B105" s="20"/>
      <c r="C105" s="2"/>
      <c r="D105" s="2"/>
      <c r="E105" s="2"/>
      <c r="F105" s="2"/>
      <c r="G105" s="2"/>
      <c r="H105" s="2"/>
      <c r="I105" s="2"/>
      <c r="J105" s="2"/>
      <c r="K105" s="1"/>
      <c r="L105" s="1"/>
      <c r="M105" s="1"/>
      <c r="N105" s="1"/>
      <c r="O105" s="1"/>
      <c r="P105" s="1"/>
      <c r="Q105" s="1"/>
      <c r="R105" s="1"/>
      <c r="S105" s="1"/>
      <c r="T105" s="1"/>
      <c r="U105" s="1"/>
      <c r="V105" s="1"/>
      <c r="W105" s="1"/>
      <c r="X105" s="1"/>
      <c r="Y105" s="1"/>
      <c r="Z105" s="1"/>
    </row>
    <row r="106" spans="1:26" ht="42" customHeight="1" x14ac:dyDescent="0.2">
      <c r="A106" s="2"/>
      <c r="B106" s="2"/>
      <c r="C106" s="2"/>
      <c r="D106" s="2"/>
      <c r="E106" s="2"/>
      <c r="F106" s="2"/>
      <c r="G106" s="2"/>
      <c r="H106" s="2"/>
      <c r="I106" s="2"/>
      <c r="J106" s="2"/>
      <c r="K106" s="1"/>
      <c r="L106" s="1"/>
      <c r="M106" s="1"/>
      <c r="N106" s="1"/>
      <c r="O106" s="1"/>
      <c r="P106" s="1"/>
      <c r="Q106" s="1"/>
      <c r="R106" s="1"/>
      <c r="S106" s="1"/>
      <c r="T106" s="1"/>
      <c r="U106" s="1"/>
      <c r="V106" s="1"/>
      <c r="W106" s="1"/>
      <c r="X106" s="1"/>
      <c r="Y106" s="1"/>
      <c r="Z106" s="1"/>
    </row>
    <row r="107" spans="1:26" ht="15.75" customHeight="1" x14ac:dyDescent="0.2">
      <c r="A107" s="2"/>
      <c r="B107" s="2"/>
      <c r="C107" s="2"/>
      <c r="D107" s="2"/>
      <c r="E107" s="2"/>
      <c r="F107" s="2"/>
      <c r="G107" s="2"/>
      <c r="H107" s="2"/>
      <c r="I107" s="2"/>
      <c r="J107" s="2"/>
      <c r="K107" s="1"/>
      <c r="L107" s="1"/>
      <c r="M107" s="1"/>
      <c r="N107" s="1"/>
      <c r="O107" s="1"/>
      <c r="P107" s="1"/>
      <c r="Q107" s="1"/>
      <c r="R107" s="1"/>
      <c r="S107" s="1"/>
      <c r="T107" s="1"/>
      <c r="U107" s="1"/>
      <c r="V107" s="1"/>
      <c r="W107" s="1"/>
      <c r="X107" s="1"/>
      <c r="Y107" s="1"/>
      <c r="Z107" s="1"/>
    </row>
    <row r="108" spans="1:26" ht="15.75" customHeight="1" x14ac:dyDescent="0.2">
      <c r="A108" s="45" t="s">
        <v>111</v>
      </c>
      <c r="B108" s="44"/>
      <c r="C108" s="44"/>
      <c r="D108" s="44"/>
      <c r="E108" s="44"/>
      <c r="F108" s="44"/>
      <c r="G108" s="44"/>
      <c r="H108" s="44"/>
      <c r="I108" s="44"/>
      <c r="J108" s="44"/>
      <c r="K108" s="1"/>
      <c r="L108" s="1"/>
      <c r="M108" s="1"/>
      <c r="N108" s="1"/>
      <c r="O108" s="1"/>
      <c r="P108" s="1"/>
      <c r="Q108" s="1"/>
      <c r="R108" s="1"/>
      <c r="S108" s="1"/>
      <c r="T108" s="1"/>
      <c r="U108" s="1"/>
      <c r="V108" s="1"/>
      <c r="W108" s="1"/>
      <c r="X108" s="1"/>
      <c r="Y108" s="1"/>
      <c r="Z108" s="1"/>
    </row>
    <row r="109" spans="1:26" ht="15.75" customHeight="1" x14ac:dyDescent="0.2">
      <c r="A109" s="89"/>
      <c r="B109" s="76"/>
      <c r="C109" s="76"/>
      <c r="D109" s="76"/>
      <c r="E109" s="76"/>
      <c r="F109" s="76"/>
      <c r="G109" s="76"/>
      <c r="H109" s="76"/>
      <c r="I109" s="76"/>
      <c r="J109" s="76"/>
      <c r="K109" s="1"/>
      <c r="L109" s="1"/>
      <c r="M109" s="1"/>
      <c r="N109" s="1"/>
      <c r="O109" s="1"/>
      <c r="P109" s="1"/>
      <c r="Q109" s="1"/>
      <c r="R109" s="1"/>
      <c r="S109" s="1"/>
      <c r="T109" s="1"/>
      <c r="U109" s="1"/>
      <c r="V109" s="1"/>
      <c r="W109" s="1"/>
      <c r="X109" s="1"/>
      <c r="Y109" s="1"/>
      <c r="Z109" s="1"/>
    </row>
    <row r="110" spans="1:26" ht="15.75" customHeight="1" x14ac:dyDescent="0.2">
      <c r="A110" s="76"/>
      <c r="B110" s="76"/>
      <c r="C110" s="76"/>
      <c r="D110" s="76"/>
      <c r="E110" s="76"/>
      <c r="F110" s="76"/>
      <c r="G110" s="76"/>
      <c r="H110" s="76"/>
      <c r="I110" s="76"/>
      <c r="J110" s="76"/>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I98:L98"/>
    <mergeCell ref="I99:K99"/>
    <mergeCell ref="A101:J101"/>
    <mergeCell ref="A109:J110"/>
    <mergeCell ref="A30:J30"/>
    <mergeCell ref="A40:J40"/>
    <mergeCell ref="A41:J42"/>
    <mergeCell ref="B53:C53"/>
    <mergeCell ref="B54:C54"/>
    <mergeCell ref="A59:J59"/>
    <mergeCell ref="A60:J63"/>
    <mergeCell ref="A17:F17"/>
    <mergeCell ref="A24:J24"/>
    <mergeCell ref="B55:C55"/>
    <mergeCell ref="B69:E69"/>
    <mergeCell ref="I90:L90"/>
    <mergeCell ref="A1:J1"/>
    <mergeCell ref="A2:J2"/>
    <mergeCell ref="A4:J4"/>
    <mergeCell ref="A11:J11"/>
    <mergeCell ref="A12:J15"/>
  </mergeCells>
  <conditionalFormatting sqref="I98:L98">
    <cfRule type="expression" dxfId="28" priority="1">
      <formula>ISNUMBER(SEARCH("NOT ELIGIBLE",$I$98))</formula>
    </cfRule>
    <cfRule type="expression" dxfId="27" priority="2">
      <formula>AND($I$98&lt;&gt;"",NOT(ISNUMBER(SEARCH("NOT ELIGIBLE",$I$98))))</formula>
    </cfRule>
  </conditionalFormatting>
  <conditionalFormatting sqref="L92:L97">
    <cfRule type="expression" dxfId="26" priority="3">
      <formula>L92="PASS"</formula>
    </cfRule>
    <cfRule type="expression" dxfId="25" priority="4">
      <formula>L92="FAIL"</formula>
    </cfRule>
  </conditionalFormatting>
  <dataValidations count="5">
    <dataValidation type="decimal" allowBlank="1" sqref="B45:B48 B73:B76" xr:uid="{00000000-0002-0000-0300-000000000000}">
      <formula1>0</formula1>
      <formula2>20</formula2>
    </dataValidation>
    <dataValidation type="list" allowBlank="1" sqref="B103" xr:uid="{00000000-0002-0000-0300-000001000000}">
      <formula1>"Architecture Lead,Robot Engineer,Cost Manager"</formula1>
    </dataValidation>
    <dataValidation type="list" allowBlank="1" sqref="B104" xr:uid="{00000000-0002-0000-0300-000002000000}">
      <formula1>"Cost vs Productivity,Cost vs Safety,Cost vs Manual Effort Reduction,Productivity vs Safety,Productivity vs Manual Effort Reduction,Safety vs Manual Effort Reduction"</formula1>
    </dataValidation>
    <dataValidation type="list" allowBlank="1" sqref="B105" xr:uid="{00000000-0002-0000-0300-000003000000}">
      <formula1>"More Robots,Fewer Robots,Improved Productivity,Improved Safety,Improved Manual Effort Reduction,Lower Cost,No Major Change"</formula1>
    </dataValidation>
    <dataValidation type="list" allowBlank="1" sqref="B69" xr:uid="{00000000-0002-0000-0300-000004000000}">
      <formula1>"Human-Led,Collaborative,Robot-Led"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baseColWidth="10" defaultColWidth="14.5" defaultRowHeight="15" x14ac:dyDescent="0.2"/>
  <cols>
    <col min="1" max="5" width="17" customWidth="1"/>
    <col min="6" max="6" width="28" customWidth="1"/>
    <col min="7" max="8" width="16" customWidth="1"/>
    <col min="9" max="9" width="24" customWidth="1"/>
    <col min="10" max="10" width="16" customWidth="1"/>
    <col min="11" max="11" width="18.5" customWidth="1"/>
    <col min="12" max="12" width="15.5" customWidth="1"/>
    <col min="13" max="13" width="6.83203125" customWidth="1"/>
    <col min="14" max="14" width="10" customWidth="1"/>
    <col min="15" max="15" width="9.1640625" customWidth="1"/>
    <col min="16" max="17" width="18" customWidth="1"/>
    <col min="18" max="20" width="10" customWidth="1"/>
    <col min="21" max="26" width="12.5" customWidth="1"/>
  </cols>
  <sheetData>
    <row r="1" spans="1:26" ht="21.75" customHeight="1" x14ac:dyDescent="0.3">
      <c r="A1" s="93" t="s">
        <v>162</v>
      </c>
      <c r="B1" s="76"/>
      <c r="C1" s="76"/>
      <c r="D1" s="76"/>
      <c r="E1" s="76"/>
      <c r="F1" s="76"/>
      <c r="G1" s="76"/>
      <c r="H1" s="76"/>
      <c r="I1" s="76"/>
      <c r="J1" s="76"/>
      <c r="K1" s="76"/>
      <c r="L1" s="76"/>
      <c r="M1" s="76"/>
      <c r="N1" s="76"/>
      <c r="O1" s="76"/>
      <c r="P1" s="76"/>
      <c r="Q1" s="44"/>
      <c r="R1" s="44"/>
      <c r="S1" s="44"/>
      <c r="T1" s="44"/>
      <c r="U1" s="1"/>
      <c r="V1" s="1"/>
      <c r="W1" s="1"/>
      <c r="X1" s="1"/>
      <c r="Y1" s="1"/>
      <c r="Z1" s="1"/>
    </row>
    <row r="2" spans="1:26" ht="15" customHeight="1" x14ac:dyDescent="0.2">
      <c r="A2" s="2"/>
      <c r="B2" s="2"/>
      <c r="C2" s="2"/>
      <c r="D2" s="2"/>
      <c r="E2" s="2"/>
      <c r="F2" s="2"/>
      <c r="G2" s="2"/>
      <c r="H2" s="2"/>
      <c r="I2" s="2"/>
      <c r="J2" s="2"/>
      <c r="K2" s="2"/>
      <c r="L2" s="2"/>
      <c r="M2" s="2"/>
      <c r="N2" s="2"/>
      <c r="O2" s="2"/>
      <c r="P2" s="2"/>
      <c r="Q2" s="44"/>
      <c r="R2" s="44"/>
      <c r="S2" s="44"/>
      <c r="T2" s="44"/>
      <c r="U2" s="1"/>
      <c r="V2" s="1"/>
      <c r="W2" s="1"/>
      <c r="X2" s="1"/>
      <c r="Y2" s="1"/>
      <c r="Z2" s="1"/>
    </row>
    <row r="3" spans="1:26" ht="15" customHeight="1" x14ac:dyDescent="0.2">
      <c r="A3" s="80" t="s">
        <v>163</v>
      </c>
      <c r="B3" s="76"/>
      <c r="C3" s="76"/>
      <c r="D3" s="76"/>
      <c r="E3" s="76"/>
      <c r="F3" s="76"/>
      <c r="G3" s="76"/>
      <c r="H3" s="76"/>
      <c r="I3" s="76"/>
      <c r="J3" s="76"/>
      <c r="K3" s="76"/>
      <c r="L3" s="76"/>
      <c r="M3" s="76"/>
      <c r="N3" s="76"/>
      <c r="O3" s="76"/>
      <c r="P3" s="76"/>
      <c r="Q3" s="44"/>
      <c r="R3" s="44"/>
      <c r="S3" s="44"/>
      <c r="T3" s="44"/>
      <c r="U3" s="1"/>
      <c r="V3" s="1"/>
      <c r="W3" s="1"/>
      <c r="X3" s="1"/>
      <c r="Y3" s="1"/>
      <c r="Z3" s="1"/>
    </row>
    <row r="4" spans="1:26" ht="15" customHeight="1" x14ac:dyDescent="0.2">
      <c r="A4" s="76"/>
      <c r="B4" s="76"/>
      <c r="C4" s="76"/>
      <c r="D4" s="76"/>
      <c r="E4" s="76"/>
      <c r="F4" s="76"/>
      <c r="G4" s="76"/>
      <c r="H4" s="76"/>
      <c r="I4" s="76"/>
      <c r="J4" s="76"/>
      <c r="K4" s="76"/>
      <c r="L4" s="76"/>
      <c r="M4" s="76"/>
      <c r="N4" s="76"/>
      <c r="O4" s="76"/>
      <c r="P4" s="76"/>
      <c r="Q4" s="44"/>
      <c r="R4" s="44"/>
      <c r="S4" s="44"/>
      <c r="T4" s="44"/>
      <c r="U4" s="1"/>
      <c r="V4" s="1"/>
      <c r="W4" s="1"/>
      <c r="X4" s="1"/>
      <c r="Y4" s="1"/>
      <c r="Z4" s="1"/>
    </row>
    <row r="5" spans="1:26" ht="15" customHeight="1" x14ac:dyDescent="0.2">
      <c r="A5" s="2"/>
      <c r="B5" s="2"/>
      <c r="C5" s="2"/>
      <c r="D5" s="2"/>
      <c r="E5" s="2"/>
      <c r="F5" s="2"/>
      <c r="G5" s="2"/>
      <c r="H5" s="2"/>
      <c r="I5" s="2"/>
      <c r="J5" s="2"/>
      <c r="K5" s="2"/>
      <c r="L5" s="2"/>
      <c r="M5" s="2"/>
      <c r="N5" s="2"/>
      <c r="O5" s="2"/>
      <c r="P5" s="2"/>
      <c r="Q5" s="44"/>
      <c r="R5" s="44"/>
      <c r="S5" s="44"/>
      <c r="T5" s="44"/>
      <c r="U5" s="1"/>
      <c r="V5" s="1"/>
      <c r="W5" s="1"/>
      <c r="X5" s="1"/>
      <c r="Y5" s="1"/>
      <c r="Z5" s="1"/>
    </row>
    <row r="6" spans="1:26" ht="15.75" customHeight="1" x14ac:dyDescent="0.2">
      <c r="A6" s="6" t="s">
        <v>164</v>
      </c>
      <c r="B6" s="6" t="s">
        <v>165</v>
      </c>
      <c r="C6" s="2"/>
      <c r="D6" s="2"/>
      <c r="E6" s="2"/>
      <c r="F6" s="2"/>
      <c r="G6" s="2"/>
      <c r="H6" s="2"/>
      <c r="I6" s="2"/>
      <c r="J6" s="2"/>
      <c r="K6" s="2"/>
      <c r="L6" s="2"/>
      <c r="M6" s="2"/>
      <c r="N6" s="2"/>
      <c r="O6" s="2"/>
      <c r="P6" s="2"/>
      <c r="Q6" s="44"/>
      <c r="R6" s="44"/>
      <c r="S6" s="44"/>
      <c r="T6" s="44"/>
      <c r="U6" s="1"/>
      <c r="V6" s="1"/>
      <c r="W6" s="1"/>
      <c r="X6" s="1"/>
      <c r="Y6" s="1"/>
      <c r="Z6" s="1"/>
    </row>
    <row r="7" spans="1:26" ht="15.75" customHeight="1" x14ac:dyDescent="0.2">
      <c r="A7" s="7" t="s">
        <v>166</v>
      </c>
      <c r="B7" s="12" t="str">
        <f t="array" ref="B7">IF(COUNTIF($G$13:$G$15,"YES")=0,"No feasible team yet",INDEX($A$13:$A$15,MATCH(MAX($H$13:$H$15),$H$13:$H$15,0)))</f>
        <v>No feasible team yet</v>
      </c>
      <c r="C7" s="2"/>
      <c r="D7" s="2"/>
      <c r="E7" s="2"/>
      <c r="F7" s="2"/>
      <c r="G7" s="2"/>
      <c r="H7" s="2"/>
      <c r="I7" s="2"/>
      <c r="J7" s="2"/>
      <c r="K7" s="2"/>
      <c r="L7" s="2"/>
      <c r="M7" s="2"/>
      <c r="N7" s="2"/>
      <c r="O7" s="2"/>
      <c r="P7" s="2"/>
      <c r="Q7" s="44"/>
      <c r="R7" s="44"/>
      <c r="S7" s="44"/>
      <c r="T7" s="44"/>
      <c r="U7" s="1"/>
      <c r="V7" s="1"/>
      <c r="W7" s="1"/>
      <c r="X7" s="1"/>
      <c r="Y7" s="1"/>
      <c r="Z7" s="1"/>
    </row>
    <row r="8" spans="1:26" ht="15.75" customHeight="1" x14ac:dyDescent="0.2">
      <c r="A8" s="7" t="s">
        <v>167</v>
      </c>
      <c r="B8" s="12" t="str">
        <f t="array" ref="B8">IF(COUNTIF($O$20:$O$22,"YES")=0,"No eligible team",INDEX($A$20:$A$22,MATCH(MAX($P$20:$P$22),$P$20:$P$22,0)))</f>
        <v>No eligible team</v>
      </c>
      <c r="C8" s="2"/>
      <c r="D8" s="2"/>
      <c r="E8" s="2"/>
      <c r="F8" s="2"/>
      <c r="G8" s="2"/>
      <c r="H8" s="2"/>
      <c r="I8" s="2"/>
      <c r="J8" s="2"/>
      <c r="K8" s="2"/>
      <c r="L8" s="2"/>
      <c r="M8" s="2"/>
      <c r="N8" s="2"/>
      <c r="O8" s="2"/>
      <c r="P8" s="2"/>
      <c r="Q8" s="44"/>
      <c r="R8" s="44"/>
      <c r="S8" s="44"/>
      <c r="T8" s="44"/>
      <c r="U8" s="1"/>
      <c r="V8" s="1"/>
      <c r="W8" s="1"/>
      <c r="X8" s="1"/>
      <c r="Y8" s="1"/>
      <c r="Z8" s="1"/>
    </row>
    <row r="9" spans="1:26" ht="79.5" customHeight="1" x14ac:dyDescent="0.2">
      <c r="A9" s="7" t="s">
        <v>168</v>
      </c>
      <c r="B9" s="7" t="s">
        <v>169</v>
      </c>
      <c r="C9" s="2"/>
      <c r="D9" s="2"/>
      <c r="E9" s="2"/>
      <c r="F9" s="2"/>
      <c r="G9" s="2"/>
      <c r="H9" s="2"/>
      <c r="I9" s="2"/>
      <c r="J9" s="2"/>
      <c r="K9" s="2"/>
      <c r="L9" s="2"/>
      <c r="M9" s="2"/>
      <c r="N9" s="2"/>
      <c r="O9" s="2"/>
      <c r="P9" s="2"/>
      <c r="Q9" s="44"/>
      <c r="R9" s="44"/>
      <c r="S9" s="44"/>
      <c r="T9" s="44"/>
      <c r="U9" s="1"/>
      <c r="V9" s="1"/>
      <c r="W9" s="1"/>
      <c r="X9" s="1"/>
      <c r="Y9" s="1"/>
      <c r="Z9" s="1"/>
    </row>
    <row r="10" spans="1:26" ht="15" customHeight="1" x14ac:dyDescent="0.2">
      <c r="A10" s="2"/>
      <c r="B10" s="2"/>
      <c r="C10" s="2"/>
      <c r="D10" s="2"/>
      <c r="E10" s="2"/>
      <c r="F10" s="2"/>
      <c r="G10" s="2"/>
      <c r="H10" s="2"/>
      <c r="I10" s="2"/>
      <c r="J10" s="2"/>
      <c r="K10" s="2"/>
      <c r="L10" s="2"/>
      <c r="M10" s="2"/>
      <c r="N10" s="2"/>
      <c r="O10" s="2"/>
      <c r="P10" s="2"/>
      <c r="Q10" s="44"/>
      <c r="R10" s="44"/>
      <c r="S10" s="44"/>
      <c r="T10" s="44"/>
      <c r="U10" s="1"/>
      <c r="V10" s="1"/>
      <c r="W10" s="1"/>
      <c r="X10" s="1"/>
      <c r="Y10" s="1"/>
      <c r="Z10" s="1"/>
    </row>
    <row r="11" spans="1:26" ht="15" customHeight="1" x14ac:dyDescent="0.2">
      <c r="A11" s="2"/>
      <c r="B11" s="2"/>
      <c r="C11" s="2"/>
      <c r="D11" s="2"/>
      <c r="E11" s="2"/>
      <c r="F11" s="2"/>
      <c r="G11" s="2"/>
      <c r="H11" s="2"/>
      <c r="I11" s="2"/>
      <c r="J11" s="2"/>
      <c r="K11" s="2"/>
      <c r="L11" s="2"/>
      <c r="M11" s="2"/>
      <c r="N11" s="2"/>
      <c r="O11" s="2"/>
      <c r="P11" s="2"/>
      <c r="Q11" s="44"/>
      <c r="R11" s="44"/>
      <c r="S11" s="44"/>
      <c r="T11" s="44"/>
      <c r="U11" s="1"/>
      <c r="V11" s="1"/>
      <c r="W11" s="1"/>
      <c r="X11" s="1"/>
      <c r="Y11" s="1"/>
      <c r="Z11" s="1"/>
    </row>
    <row r="12" spans="1:26" ht="31.5" customHeight="1" x14ac:dyDescent="0.2">
      <c r="A12" s="6" t="s">
        <v>170</v>
      </c>
      <c r="B12" s="6" t="s">
        <v>87</v>
      </c>
      <c r="C12" s="6" t="s">
        <v>202</v>
      </c>
      <c r="D12" s="6" t="s">
        <v>57</v>
      </c>
      <c r="E12" s="6" t="s">
        <v>171</v>
      </c>
      <c r="F12" s="6" t="s">
        <v>59</v>
      </c>
      <c r="G12" s="6" t="s">
        <v>172</v>
      </c>
      <c r="H12" s="6" t="s">
        <v>173</v>
      </c>
      <c r="I12" s="2"/>
      <c r="J12" s="2"/>
      <c r="K12" s="58"/>
      <c r="L12" s="58"/>
      <c r="M12" s="58"/>
      <c r="N12" s="58"/>
      <c r="O12" s="58"/>
      <c r="P12" s="58"/>
      <c r="Q12" s="59"/>
      <c r="R12" s="44"/>
      <c r="S12" s="44"/>
      <c r="T12" s="44"/>
      <c r="U12" s="1"/>
      <c r="V12" s="1"/>
      <c r="W12" s="1"/>
      <c r="X12" s="1"/>
      <c r="Y12" s="1"/>
      <c r="Z12" s="1"/>
    </row>
    <row r="13" spans="1:26" ht="15.75" customHeight="1" x14ac:dyDescent="0.2">
      <c r="A13" s="7" t="s">
        <v>174</v>
      </c>
      <c r="B13" s="7">
        <f>'Team A'!$G$45</f>
        <v>0</v>
      </c>
      <c r="C13" s="7" t="str">
        <f>'Team A'!$G$47</f>
        <v>Status</v>
      </c>
      <c r="D13" s="7" t="str">
        <f>'Team A'!$G$48</f>
        <v>Status</v>
      </c>
      <c r="E13" s="7" t="str">
        <f>IF(COUNTA('Team A'!$B$45:$B$49)=0,"Status",IF('Team A'!$G$49&lt;='Scoring Backend'!$B$21,"PASS","FAIL"))</f>
        <v>Status</v>
      </c>
      <c r="F13" s="7">
        <f>'Team A'!$G$49</f>
        <v>0</v>
      </c>
      <c r="G13" s="7" t="str">
        <f t="shared" ref="G13:G15" si="0">IF(OR(C13="Status",D13="Status",E13="Status"),"Status",IF(AND(C13="PASS",D13="PASS",E13="PASS"),"YES","NO"))</f>
        <v>Status</v>
      </c>
      <c r="H13" s="7" t="str">
        <f t="shared" ref="H13:H15" si="1">IF(G13="YES",100000-F13,"")</f>
        <v/>
      </c>
      <c r="I13" s="2"/>
      <c r="J13" s="2"/>
      <c r="K13" s="60"/>
      <c r="L13" s="60"/>
      <c r="M13" s="61"/>
      <c r="N13" s="60"/>
      <c r="O13" s="60"/>
      <c r="P13" s="60"/>
      <c r="Q13" s="62"/>
      <c r="R13" s="44"/>
      <c r="S13" s="44"/>
      <c r="T13" s="44"/>
      <c r="U13" s="1"/>
      <c r="V13" s="1"/>
      <c r="W13" s="1"/>
      <c r="X13" s="1"/>
      <c r="Y13" s="1"/>
      <c r="Z13" s="1"/>
    </row>
    <row r="14" spans="1:26" ht="15.75" customHeight="1" x14ac:dyDescent="0.2">
      <c r="A14" s="7" t="s">
        <v>175</v>
      </c>
      <c r="B14" s="7">
        <f>'Team B'!$G$45</f>
        <v>0</v>
      </c>
      <c r="C14" s="7" t="str">
        <f>'Team B'!$G$47</f>
        <v>Status</v>
      </c>
      <c r="D14" s="7" t="str">
        <f>'Team B'!$G$48</f>
        <v>Status</v>
      </c>
      <c r="E14" s="7" t="str">
        <f>IF(COUNTA('Team B'!$B$45:$B$49)=0,"Status",IF('Team B'!$G$49&lt;='Scoring Backend'!$B$21,"PASS","FAIL"))</f>
        <v>Status</v>
      </c>
      <c r="F14" s="7">
        <f>'Team B'!$G$49</f>
        <v>0</v>
      </c>
      <c r="G14" s="7" t="str">
        <f t="shared" si="0"/>
        <v>Status</v>
      </c>
      <c r="H14" s="7" t="str">
        <f t="shared" si="1"/>
        <v/>
      </c>
      <c r="I14" s="2"/>
      <c r="J14" s="2"/>
      <c r="K14" s="60"/>
      <c r="L14" s="60"/>
      <c r="M14" s="61"/>
      <c r="N14" s="60"/>
      <c r="O14" s="60"/>
      <c r="P14" s="60"/>
      <c r="Q14" s="62"/>
      <c r="R14" s="44"/>
      <c r="S14" s="44"/>
      <c r="T14" s="44"/>
      <c r="U14" s="1"/>
      <c r="V14" s="1"/>
      <c r="W14" s="1"/>
      <c r="X14" s="1"/>
      <c r="Y14" s="1"/>
      <c r="Z14" s="1"/>
    </row>
    <row r="15" spans="1:26" ht="15.75" customHeight="1" x14ac:dyDescent="0.2">
      <c r="A15" s="7" t="s">
        <v>176</v>
      </c>
      <c r="B15" s="7">
        <f>'Team C'!$G$45</f>
        <v>0</v>
      </c>
      <c r="C15" s="7" t="str">
        <f>'Team C'!$G$47</f>
        <v>Status</v>
      </c>
      <c r="D15" s="7" t="str">
        <f>'Team C'!$G$48</f>
        <v>Status</v>
      </c>
      <c r="E15" s="7" t="str">
        <f>IF(COUNTA('Team C'!$B$45:$B$49)=0,"Status",IF('Team C'!$G$49&lt;='Scoring Backend'!$B$21,"PASS","FAIL"))</f>
        <v>Status</v>
      </c>
      <c r="F15" s="7">
        <f>'Team C'!$G$49</f>
        <v>0</v>
      </c>
      <c r="G15" s="7" t="str">
        <f t="shared" si="0"/>
        <v>Status</v>
      </c>
      <c r="H15" s="7" t="str">
        <f t="shared" si="1"/>
        <v/>
      </c>
      <c r="I15" s="2"/>
      <c r="J15" s="2"/>
      <c r="K15" s="60"/>
      <c r="L15" s="60"/>
      <c r="M15" s="61"/>
      <c r="N15" s="60"/>
      <c r="O15" s="60"/>
      <c r="P15" s="60"/>
      <c r="Q15" s="62"/>
      <c r="R15" s="44"/>
      <c r="S15" s="44"/>
      <c r="T15" s="44"/>
      <c r="U15" s="1"/>
      <c r="V15" s="1"/>
      <c r="W15" s="1"/>
      <c r="X15" s="1"/>
      <c r="Y15" s="1"/>
      <c r="Z15" s="1"/>
    </row>
    <row r="16" spans="1:26" ht="15" customHeight="1" x14ac:dyDescent="0.2">
      <c r="A16" s="2"/>
      <c r="B16" s="2"/>
      <c r="C16" s="2"/>
      <c r="D16" s="2"/>
      <c r="E16" s="2"/>
      <c r="F16" s="2"/>
      <c r="G16" s="2"/>
      <c r="H16" s="2"/>
      <c r="I16" s="2"/>
      <c r="J16" s="2"/>
      <c r="K16" s="24"/>
      <c r="L16" s="24"/>
      <c r="M16" s="24"/>
      <c r="N16" s="24"/>
      <c r="O16" s="24"/>
      <c r="P16" s="24"/>
      <c r="Q16" s="63"/>
      <c r="R16" s="44"/>
      <c r="S16" s="44"/>
      <c r="T16" s="44"/>
      <c r="U16" s="1"/>
      <c r="V16" s="1"/>
      <c r="W16" s="1"/>
      <c r="X16" s="1"/>
      <c r="Y16" s="1"/>
      <c r="Z16" s="1"/>
    </row>
    <row r="17" spans="1:26" ht="15" customHeight="1" x14ac:dyDescent="0.2">
      <c r="A17" s="2"/>
      <c r="B17" s="2"/>
      <c r="C17" s="2"/>
      <c r="D17" s="2"/>
      <c r="E17" s="2"/>
      <c r="F17" s="2"/>
      <c r="G17" s="2"/>
      <c r="H17" s="2"/>
      <c r="I17" s="2"/>
      <c r="J17" s="2"/>
      <c r="K17" s="24"/>
      <c r="L17" s="24"/>
      <c r="M17" s="24"/>
      <c r="N17" s="24"/>
      <c r="O17" s="24"/>
      <c r="P17" s="24"/>
      <c r="Q17" s="63"/>
      <c r="R17" s="44"/>
      <c r="S17" s="44"/>
      <c r="T17" s="44"/>
      <c r="U17" s="1"/>
      <c r="V17" s="1"/>
      <c r="W17" s="1"/>
      <c r="X17" s="1"/>
      <c r="Y17" s="1"/>
      <c r="Z17" s="1"/>
    </row>
    <row r="18" spans="1:26" ht="15" customHeight="1" x14ac:dyDescent="0.2">
      <c r="A18" s="2"/>
      <c r="B18" s="2"/>
      <c r="C18" s="2"/>
      <c r="D18" s="2"/>
      <c r="E18" s="2"/>
      <c r="F18" s="2"/>
      <c r="G18" s="2"/>
      <c r="H18" s="2"/>
      <c r="I18" s="2"/>
      <c r="J18" s="2"/>
      <c r="K18" s="24"/>
      <c r="L18" s="24"/>
      <c r="M18" s="24"/>
      <c r="N18" s="24"/>
      <c r="O18" s="24"/>
      <c r="P18" s="24"/>
      <c r="Q18" s="63"/>
      <c r="R18" s="44"/>
      <c r="S18" s="44"/>
      <c r="T18" s="44"/>
      <c r="U18" s="1"/>
      <c r="V18" s="1"/>
      <c r="W18" s="1"/>
      <c r="X18" s="1"/>
      <c r="Y18" s="1"/>
      <c r="Z18" s="1"/>
    </row>
    <row r="19" spans="1:26" ht="31.5" customHeight="1" x14ac:dyDescent="0.2">
      <c r="A19" s="64" t="s">
        <v>177</v>
      </c>
      <c r="B19" s="64" t="s">
        <v>80</v>
      </c>
      <c r="C19" s="64" t="s">
        <v>91</v>
      </c>
      <c r="D19" s="64" t="s">
        <v>92</v>
      </c>
      <c r="E19" s="64" t="s">
        <v>93</v>
      </c>
      <c r="F19" s="64" t="s">
        <v>94</v>
      </c>
      <c r="G19" s="64" t="s">
        <v>87</v>
      </c>
      <c r="H19" s="64" t="s">
        <v>202</v>
      </c>
      <c r="I19" s="64" t="s">
        <v>57</v>
      </c>
      <c r="J19" s="64" t="s">
        <v>59</v>
      </c>
      <c r="K19" s="65" t="s">
        <v>75</v>
      </c>
      <c r="L19" s="65" t="s">
        <v>78</v>
      </c>
      <c r="M19" s="65" t="s">
        <v>89</v>
      </c>
      <c r="N19" s="65" t="s">
        <v>178</v>
      </c>
      <c r="O19" s="65" t="s">
        <v>179</v>
      </c>
      <c r="P19" s="66" t="s">
        <v>180</v>
      </c>
      <c r="Q19" s="66" t="s">
        <v>181</v>
      </c>
      <c r="R19" s="44"/>
      <c r="S19" s="44"/>
      <c r="T19" s="44"/>
      <c r="U19" s="1"/>
      <c r="V19" s="1"/>
      <c r="W19" s="1"/>
      <c r="X19" s="1"/>
      <c r="Y19" s="1"/>
      <c r="Z19" s="1"/>
    </row>
    <row r="20" spans="1:26" ht="15.75" customHeight="1" x14ac:dyDescent="0.2">
      <c r="A20" s="67" t="s">
        <v>174</v>
      </c>
      <c r="B20" s="67" t="str">
        <f>IF('Team A'!$B$69="","",'Team A'!$B$69)</f>
        <v/>
      </c>
      <c r="C20" s="68" t="str">
        <f>'Team A'!$J$86</f>
        <v/>
      </c>
      <c r="D20" s="67" t="str">
        <f>'Team A'!$J$87</f>
        <v/>
      </c>
      <c r="E20" s="67" t="str">
        <f>'Team A'!$J$88</f>
        <v/>
      </c>
      <c r="F20" s="67" t="str">
        <f>'Team A'!$J$89</f>
        <v/>
      </c>
      <c r="G20" s="67">
        <f>'Team A'!$J$74</f>
        <v>0</v>
      </c>
      <c r="H20" s="67" t="str">
        <f>'Team A'!$J$76</f>
        <v>Status</v>
      </c>
      <c r="I20" s="67" t="str">
        <f>'Team A'!$J$77</f>
        <v>Status</v>
      </c>
      <c r="J20" s="67">
        <f>'Team A'!$J$78</f>
        <v>0</v>
      </c>
      <c r="K20" s="69" t="str">
        <f>'Team A'!$J$79</f>
        <v/>
      </c>
      <c r="L20" s="69" t="str">
        <f>'Team A'!$J$80</f>
        <v/>
      </c>
      <c r="M20" s="70" t="str">
        <f>'Team A'!$J$81</f>
        <v/>
      </c>
      <c r="N20" s="71" t="str">
        <f>'Team A'!$J$82</f>
        <v/>
      </c>
      <c r="O20" s="69" t="str">
        <f>IF(COUNTA('Team A'!$B$69,'Team A'!$B$73:$B$77)=0,"Status",IF(AND(I20="PASS",H20="PASS",J20&lt;='Scoring Backend'!$G$18,K20&gt;='Scoring Backend'!$G$20,L20&gt;='Scoring Backend'!$G$19,M20&gt;='Scoring Backend'!$G$21),"YES","NO"))</f>
        <v>Status</v>
      </c>
      <c r="P20" s="71" t="str">
        <f>IF(O20="YES",N20+('Scoring Backend'!$G$18-J20)/10000,"")</f>
        <v/>
      </c>
      <c r="Q20" s="72" t="str">
        <f t="shared" ref="Q20:Q22" si="2">IF(AND(O20="YES",P20=MAX($P$20:$P$22)),"WINNER","")</f>
        <v/>
      </c>
      <c r="R20" s="44"/>
      <c r="S20" s="44"/>
      <c r="T20" s="44"/>
      <c r="U20" s="1"/>
      <c r="V20" s="1"/>
      <c r="W20" s="1"/>
      <c r="X20" s="1"/>
      <c r="Y20" s="1"/>
      <c r="Z20" s="1"/>
    </row>
    <row r="21" spans="1:26" ht="15.75" customHeight="1" x14ac:dyDescent="0.2">
      <c r="A21" s="67" t="s">
        <v>175</v>
      </c>
      <c r="B21" s="67" t="str">
        <f>IF('Team B'!$B$69="","",'Team B'!$B$69)</f>
        <v/>
      </c>
      <c r="C21" s="68" t="str">
        <f>'Team B'!$J$86</f>
        <v/>
      </c>
      <c r="D21" s="67" t="str">
        <f>'Team B'!$J$87</f>
        <v/>
      </c>
      <c r="E21" s="67" t="str">
        <f>'Team B'!$J$88</f>
        <v/>
      </c>
      <c r="F21" s="67" t="str">
        <f>'Team B'!$J$89</f>
        <v/>
      </c>
      <c r="G21" s="67">
        <f>'Team B'!$J$74</f>
        <v>0</v>
      </c>
      <c r="H21" s="67" t="str">
        <f>'Team B'!$J$76</f>
        <v>Status</v>
      </c>
      <c r="I21" s="67" t="str">
        <f>'Team B'!$J$77</f>
        <v>Status</v>
      </c>
      <c r="J21" s="67">
        <f>'Team B'!$J$78</f>
        <v>0</v>
      </c>
      <c r="K21" s="69" t="str">
        <f>'Team B'!$J$79</f>
        <v/>
      </c>
      <c r="L21" s="69" t="str">
        <f>'Team B'!$J$80</f>
        <v/>
      </c>
      <c r="M21" s="70" t="str">
        <f>'Team B'!$J$81</f>
        <v/>
      </c>
      <c r="N21" s="71" t="str">
        <f>'Team B'!$J$82</f>
        <v/>
      </c>
      <c r="O21" s="69" t="str">
        <f>IF(COUNTA('Team B'!$B$69,'Team B'!$B$73:$B$77)=0,"Status",IF(AND(I21="PASS",H21="PASS",J21&lt;='Scoring Backend'!$G$18,K21&gt;='Scoring Backend'!$G$20,L21&gt;='Scoring Backend'!$G$19,M21&gt;='Scoring Backend'!$G$21),"YES","NO"))</f>
        <v>Status</v>
      </c>
      <c r="P21" s="69" t="str">
        <f>IF(O21="YES",N21+('Scoring Backend'!$G$18-J21)/10000,"")</f>
        <v/>
      </c>
      <c r="Q21" s="72" t="str">
        <f t="shared" si="2"/>
        <v/>
      </c>
      <c r="R21" s="44"/>
      <c r="S21" s="44"/>
      <c r="T21" s="44"/>
      <c r="U21" s="1"/>
      <c r="V21" s="1"/>
      <c r="W21" s="1"/>
      <c r="X21" s="1"/>
      <c r="Y21" s="1"/>
      <c r="Z21" s="1"/>
    </row>
    <row r="22" spans="1:26" ht="15.75" customHeight="1" x14ac:dyDescent="0.2">
      <c r="A22" s="67" t="s">
        <v>176</v>
      </c>
      <c r="B22" s="67" t="str">
        <f>IF('Team C'!$B$69="","",'Team C'!$B$69)</f>
        <v/>
      </c>
      <c r="C22" s="68" t="str">
        <f>'Team C'!$J$86</f>
        <v/>
      </c>
      <c r="D22" s="67" t="str">
        <f>'Team C'!$J$87</f>
        <v/>
      </c>
      <c r="E22" s="67" t="str">
        <f>'Team C'!$J$88</f>
        <v/>
      </c>
      <c r="F22" s="67" t="str">
        <f>'Team C'!$J$89</f>
        <v/>
      </c>
      <c r="G22" s="67">
        <f>'Team C'!$J$74</f>
        <v>0</v>
      </c>
      <c r="H22" s="67" t="str">
        <f>'Team C'!$J$76</f>
        <v>Status</v>
      </c>
      <c r="I22" s="67" t="str">
        <f>'Team C'!$J$77</f>
        <v>Status</v>
      </c>
      <c r="J22" s="67">
        <f>'Team C'!$J$78</f>
        <v>0</v>
      </c>
      <c r="K22" s="69" t="str">
        <f>'Team C'!$J$79</f>
        <v/>
      </c>
      <c r="L22" s="69" t="str">
        <f>'Team C'!$J$80</f>
        <v/>
      </c>
      <c r="M22" s="70" t="str">
        <f>'Team C'!$J$81</f>
        <v/>
      </c>
      <c r="N22" s="71" t="str">
        <f>'Team C'!$J$82</f>
        <v/>
      </c>
      <c r="O22" s="69" t="str">
        <f>IF(COUNTA('Team C'!$B$69,'Team C'!$B$73:$B$77)=0,"Status",IF(AND(I22="PASS",H22="PASS",J22&lt;='Scoring Backend'!$G$18,K22&gt;='Scoring Backend'!$G$20,L22&gt;='Scoring Backend'!$G$19,M22&gt;='Scoring Backend'!$G$21),"YES","NO"))</f>
        <v>Status</v>
      </c>
      <c r="P22" s="69" t="str">
        <f>IF(O22="YES",N22+('Scoring Backend'!$G$18-J22)/10000,"")</f>
        <v/>
      </c>
      <c r="Q22" s="72" t="str">
        <f t="shared" si="2"/>
        <v/>
      </c>
      <c r="R22" s="44"/>
      <c r="S22" s="44"/>
      <c r="T22" s="44"/>
      <c r="U22" s="1"/>
      <c r="V22" s="1"/>
      <c r="W22" s="1"/>
      <c r="X22" s="1"/>
      <c r="Y22" s="1"/>
      <c r="Z22" s="1"/>
    </row>
    <row r="23" spans="1:26" ht="15.75" customHeight="1" x14ac:dyDescent="0.2">
      <c r="A23" s="2"/>
      <c r="B23" s="2"/>
      <c r="C23" s="2"/>
      <c r="D23" s="2"/>
      <c r="E23" s="2"/>
      <c r="F23" s="2"/>
      <c r="G23" s="2"/>
      <c r="H23" s="2"/>
      <c r="I23" s="2"/>
      <c r="J23" s="2"/>
      <c r="K23" s="2"/>
      <c r="L23" s="2"/>
      <c r="M23" s="2"/>
      <c r="N23" s="2"/>
      <c r="O23" s="2"/>
      <c r="P23" s="2"/>
      <c r="Q23" s="44"/>
      <c r="R23" s="44"/>
      <c r="S23" s="44"/>
      <c r="T23" s="44"/>
      <c r="U23" s="1"/>
      <c r="V23" s="1"/>
      <c r="W23" s="1"/>
      <c r="X23" s="1"/>
      <c r="Y23" s="1"/>
      <c r="Z23" s="1"/>
    </row>
    <row r="24" spans="1:26" ht="15.75" customHeight="1" x14ac:dyDescent="0.2">
      <c r="A24" s="2"/>
      <c r="B24" s="2"/>
      <c r="C24" s="2"/>
      <c r="D24" s="2"/>
      <c r="E24" s="2"/>
      <c r="F24" s="2"/>
      <c r="G24" s="2"/>
      <c r="H24" s="2"/>
      <c r="I24" s="2"/>
      <c r="J24" s="2"/>
      <c r="K24" s="2"/>
      <c r="L24" s="2"/>
      <c r="M24" s="2"/>
      <c r="N24" s="2"/>
      <c r="O24" s="2"/>
      <c r="P24" s="2"/>
      <c r="Q24" s="44"/>
      <c r="R24" s="44"/>
      <c r="S24" s="44"/>
      <c r="T24" s="44"/>
      <c r="U24" s="1"/>
      <c r="V24" s="1"/>
      <c r="W24" s="1"/>
      <c r="X24" s="1"/>
      <c r="Y24" s="1"/>
      <c r="Z24" s="1"/>
    </row>
    <row r="25" spans="1:26" ht="15.75" customHeight="1" x14ac:dyDescent="0.2">
      <c r="A25" s="2"/>
      <c r="B25" s="2"/>
      <c r="C25" s="2"/>
      <c r="D25" s="2"/>
      <c r="E25" s="2"/>
      <c r="F25" s="2"/>
      <c r="G25" s="2"/>
      <c r="H25" s="2"/>
      <c r="I25" s="2"/>
      <c r="J25" s="2"/>
      <c r="K25" s="2"/>
      <c r="L25" s="2"/>
      <c r="M25" s="2"/>
      <c r="N25" s="2"/>
      <c r="O25" s="2"/>
      <c r="P25" s="2"/>
      <c r="Q25" s="44"/>
      <c r="R25" s="44"/>
      <c r="S25" s="44"/>
      <c r="T25" s="44"/>
      <c r="U25" s="1"/>
      <c r="V25" s="1"/>
      <c r="W25" s="1"/>
      <c r="X25" s="1"/>
      <c r="Y25" s="1"/>
      <c r="Z25" s="1"/>
    </row>
    <row r="26" spans="1:26" ht="15.75" customHeight="1" x14ac:dyDescent="0.2">
      <c r="A26" s="2"/>
      <c r="B26" s="2"/>
      <c r="C26" s="2"/>
      <c r="D26" s="2"/>
      <c r="E26" s="2"/>
      <c r="F26" s="2"/>
      <c r="G26" s="2"/>
      <c r="H26" s="2"/>
      <c r="I26" s="2"/>
      <c r="J26" s="2"/>
      <c r="K26" s="2"/>
      <c r="L26" s="2"/>
      <c r="M26" s="2"/>
      <c r="N26" s="2"/>
      <c r="O26" s="2"/>
      <c r="P26" s="2"/>
      <c r="Q26" s="44"/>
      <c r="R26" s="44"/>
      <c r="S26" s="44"/>
      <c r="T26" s="44"/>
      <c r="U26" s="1"/>
      <c r="V26" s="1"/>
      <c r="W26" s="1"/>
      <c r="X26" s="1"/>
      <c r="Y26" s="1"/>
      <c r="Z26" s="1"/>
    </row>
    <row r="27" spans="1:26" ht="15.75" customHeight="1" x14ac:dyDescent="0.2">
      <c r="A27" s="2"/>
      <c r="B27" s="2"/>
      <c r="C27" s="2"/>
      <c r="D27" s="2"/>
      <c r="E27" s="2"/>
      <c r="F27" s="2"/>
      <c r="G27" s="2"/>
      <c r="H27" s="2"/>
      <c r="I27" s="2"/>
      <c r="J27" s="2"/>
      <c r="K27" s="2"/>
      <c r="L27" s="2"/>
      <c r="M27" s="2"/>
      <c r="N27" s="2"/>
      <c r="O27" s="2"/>
      <c r="P27" s="2"/>
      <c r="Q27" s="44"/>
      <c r="R27" s="44"/>
      <c r="S27" s="44"/>
      <c r="T27" s="44"/>
      <c r="U27" s="1"/>
      <c r="V27" s="1"/>
      <c r="W27" s="1"/>
      <c r="X27" s="1"/>
      <c r="Y27" s="1"/>
      <c r="Z27" s="1"/>
    </row>
    <row r="28" spans="1:26" ht="15.75" customHeight="1" x14ac:dyDescent="0.2">
      <c r="A28" s="2"/>
      <c r="B28" s="2"/>
      <c r="C28" s="2"/>
      <c r="D28" s="2"/>
      <c r="E28" s="2"/>
      <c r="F28" s="2"/>
      <c r="G28" s="2"/>
      <c r="H28" s="2"/>
      <c r="I28" s="2"/>
      <c r="J28" s="2"/>
      <c r="K28" s="2"/>
      <c r="L28" s="2"/>
      <c r="M28" s="2"/>
      <c r="N28" s="2"/>
      <c r="O28" s="2"/>
      <c r="P28" s="2"/>
      <c r="Q28" s="44"/>
      <c r="R28" s="44"/>
      <c r="S28" s="44"/>
      <c r="T28" s="44"/>
      <c r="U28" s="1"/>
      <c r="V28" s="1"/>
      <c r="W28" s="1"/>
      <c r="X28" s="1"/>
      <c r="Y28" s="1"/>
      <c r="Z28" s="1"/>
    </row>
    <row r="29" spans="1:26" ht="15.75" customHeight="1" x14ac:dyDescent="0.2">
      <c r="A29" s="2"/>
      <c r="B29" s="2"/>
      <c r="C29" s="2"/>
      <c r="D29" s="2"/>
      <c r="E29" s="2"/>
      <c r="F29" s="2"/>
      <c r="G29" s="2"/>
      <c r="H29" s="2"/>
      <c r="I29" s="2"/>
      <c r="J29" s="2"/>
      <c r="K29" s="2"/>
      <c r="L29" s="2"/>
      <c r="M29" s="2"/>
      <c r="N29" s="2"/>
      <c r="O29" s="2"/>
      <c r="P29" s="2"/>
      <c r="Q29" s="44"/>
      <c r="R29" s="44"/>
      <c r="S29" s="44"/>
      <c r="T29" s="44"/>
      <c r="U29" s="1"/>
      <c r="V29" s="1"/>
      <c r="W29" s="1"/>
      <c r="X29" s="1"/>
      <c r="Y29" s="1"/>
      <c r="Z29" s="1"/>
    </row>
    <row r="30" spans="1:26" ht="15.75" customHeight="1" x14ac:dyDescent="0.2">
      <c r="A30" s="2"/>
      <c r="B30" s="2"/>
      <c r="C30" s="2"/>
      <c r="D30" s="2"/>
      <c r="E30" s="2"/>
      <c r="F30" s="2"/>
      <c r="G30" s="2"/>
      <c r="H30" s="2"/>
      <c r="I30" s="2"/>
      <c r="J30" s="2"/>
      <c r="K30" s="2"/>
      <c r="L30" s="2"/>
      <c r="M30" s="2"/>
      <c r="N30" s="2"/>
      <c r="O30" s="2"/>
      <c r="P30" s="2"/>
      <c r="Q30" s="44"/>
      <c r="R30" s="44"/>
      <c r="S30" s="44"/>
      <c r="T30" s="44"/>
      <c r="U30" s="1"/>
      <c r="V30" s="1"/>
      <c r="W30" s="1"/>
      <c r="X30" s="1"/>
      <c r="Y30" s="1"/>
      <c r="Z30" s="1"/>
    </row>
    <row r="31" spans="1:26" ht="15.75" customHeight="1" x14ac:dyDescent="0.2">
      <c r="A31" s="2"/>
      <c r="B31" s="2"/>
      <c r="C31" s="2"/>
      <c r="D31" s="2"/>
      <c r="E31" s="2"/>
      <c r="F31" s="2"/>
      <c r="G31" s="2"/>
      <c r="H31" s="2"/>
      <c r="I31" s="2"/>
      <c r="J31" s="2"/>
      <c r="K31" s="2"/>
      <c r="L31" s="2"/>
      <c r="M31" s="2"/>
      <c r="N31" s="2"/>
      <c r="O31" s="2"/>
      <c r="P31" s="2"/>
      <c r="Q31" s="44"/>
      <c r="R31" s="44"/>
      <c r="S31" s="44"/>
      <c r="T31" s="44"/>
      <c r="U31" s="1"/>
      <c r="V31" s="1"/>
      <c r="W31" s="1"/>
      <c r="X31" s="1"/>
      <c r="Y31" s="1"/>
      <c r="Z31" s="1"/>
    </row>
    <row r="32" spans="1:26" ht="15.75" customHeight="1" x14ac:dyDescent="0.2">
      <c r="A32" s="2"/>
      <c r="B32" s="2"/>
      <c r="C32" s="2"/>
      <c r="D32" s="2"/>
      <c r="E32" s="2"/>
      <c r="F32" s="2"/>
      <c r="G32" s="2"/>
      <c r="H32" s="2"/>
      <c r="I32" s="2"/>
      <c r="J32" s="2"/>
      <c r="K32" s="2"/>
      <c r="L32" s="2"/>
      <c r="M32" s="2"/>
      <c r="N32" s="2"/>
      <c r="O32" s="2"/>
      <c r="P32" s="2"/>
      <c r="Q32" s="44"/>
      <c r="R32" s="44"/>
      <c r="S32" s="44"/>
      <c r="T32" s="44"/>
      <c r="U32" s="1"/>
      <c r="V32" s="1"/>
      <c r="W32" s="1"/>
      <c r="X32" s="1"/>
      <c r="Y32" s="1"/>
      <c r="Z32" s="1"/>
    </row>
    <row r="33" spans="1:26" ht="15.75" customHeight="1" x14ac:dyDescent="0.2">
      <c r="A33" s="2"/>
      <c r="B33" s="2"/>
      <c r="C33" s="2"/>
      <c r="D33" s="2"/>
      <c r="E33" s="2"/>
      <c r="F33" s="2"/>
      <c r="G33" s="2"/>
      <c r="H33" s="2"/>
      <c r="I33" s="2"/>
      <c r="J33" s="2"/>
      <c r="K33" s="2"/>
      <c r="L33" s="2"/>
      <c r="M33" s="2"/>
      <c r="N33" s="2"/>
      <c r="O33" s="2"/>
      <c r="P33" s="2"/>
      <c r="Q33" s="44"/>
      <c r="R33" s="44"/>
      <c r="S33" s="44"/>
      <c r="T33" s="44"/>
      <c r="U33" s="1"/>
      <c r="V33" s="1"/>
      <c r="W33" s="1"/>
      <c r="X33" s="1"/>
      <c r="Y33" s="1"/>
      <c r="Z33" s="1"/>
    </row>
    <row r="34" spans="1:26" ht="15.75" customHeight="1" x14ac:dyDescent="0.2">
      <c r="A34" s="2"/>
      <c r="B34" s="2"/>
      <c r="C34" s="2"/>
      <c r="D34" s="2"/>
      <c r="E34" s="2"/>
      <c r="F34" s="2"/>
      <c r="G34" s="2"/>
      <c r="H34" s="2"/>
      <c r="I34" s="2"/>
      <c r="J34" s="2"/>
      <c r="K34" s="2"/>
      <c r="L34" s="2"/>
      <c r="M34" s="2"/>
      <c r="N34" s="2"/>
      <c r="O34" s="2"/>
      <c r="P34" s="2"/>
      <c r="Q34" s="44"/>
      <c r="R34" s="44"/>
      <c r="S34" s="44"/>
      <c r="T34" s="44"/>
      <c r="U34" s="1"/>
      <c r="V34" s="1"/>
      <c r="W34" s="1"/>
      <c r="X34" s="1"/>
      <c r="Y34" s="1"/>
      <c r="Z34" s="1"/>
    </row>
    <row r="35" spans="1:26" ht="15.75" customHeight="1" x14ac:dyDescent="0.2">
      <c r="A35" s="2"/>
      <c r="B35" s="2"/>
      <c r="C35" s="2"/>
      <c r="D35" s="2"/>
      <c r="E35" s="2"/>
      <c r="F35" s="2"/>
      <c r="G35" s="2"/>
      <c r="H35" s="2"/>
      <c r="I35" s="2"/>
      <c r="J35" s="2"/>
      <c r="K35" s="2"/>
      <c r="L35" s="2"/>
      <c r="M35" s="2"/>
      <c r="N35" s="2"/>
      <c r="O35" s="2"/>
      <c r="P35" s="2"/>
      <c r="Q35" s="44"/>
      <c r="R35" s="44"/>
      <c r="S35" s="44"/>
      <c r="T35" s="44"/>
      <c r="U35" s="1"/>
      <c r="V35" s="1"/>
      <c r="W35" s="1"/>
      <c r="X35" s="1"/>
      <c r="Y35" s="1"/>
      <c r="Z35" s="1"/>
    </row>
    <row r="36" spans="1:26" ht="15.75" customHeight="1" x14ac:dyDescent="0.2">
      <c r="A36" s="2"/>
      <c r="B36" s="2"/>
      <c r="C36" s="2"/>
      <c r="D36" s="2"/>
      <c r="E36" s="2"/>
      <c r="F36" s="2"/>
      <c r="G36" s="2"/>
      <c r="H36" s="2"/>
      <c r="I36" s="2"/>
      <c r="J36" s="2"/>
      <c r="K36" s="2"/>
      <c r="L36" s="2"/>
      <c r="M36" s="2"/>
      <c r="N36" s="2"/>
      <c r="O36" s="2"/>
      <c r="P36" s="2"/>
      <c r="Q36" s="44"/>
      <c r="R36" s="44"/>
      <c r="S36" s="44"/>
      <c r="T36" s="44"/>
      <c r="U36" s="1"/>
      <c r="V36" s="1"/>
      <c r="W36" s="1"/>
      <c r="X36" s="1"/>
      <c r="Y36" s="1"/>
      <c r="Z36" s="1"/>
    </row>
    <row r="37" spans="1:26" ht="15.75" customHeight="1" x14ac:dyDescent="0.2">
      <c r="A37" s="2"/>
      <c r="B37" s="2"/>
      <c r="C37" s="2"/>
      <c r="D37" s="2"/>
      <c r="E37" s="2"/>
      <c r="F37" s="2"/>
      <c r="G37" s="2"/>
      <c r="H37" s="2"/>
      <c r="I37" s="2"/>
      <c r="J37" s="2"/>
      <c r="K37" s="2"/>
      <c r="L37" s="2"/>
      <c r="M37" s="2"/>
      <c r="N37" s="2"/>
      <c r="O37" s="2"/>
      <c r="P37" s="2"/>
      <c r="Q37" s="44"/>
      <c r="R37" s="44"/>
      <c r="S37" s="44"/>
      <c r="T37" s="44"/>
      <c r="U37" s="1"/>
      <c r="V37" s="1"/>
      <c r="W37" s="1"/>
      <c r="X37" s="1"/>
      <c r="Y37" s="1"/>
      <c r="Z37" s="1"/>
    </row>
    <row r="38" spans="1:26" ht="15.75" customHeight="1" x14ac:dyDescent="0.2">
      <c r="A38" s="2"/>
      <c r="B38" s="2"/>
      <c r="C38" s="2"/>
      <c r="D38" s="2"/>
      <c r="E38" s="2"/>
      <c r="F38" s="2"/>
      <c r="G38" s="2"/>
      <c r="H38" s="2"/>
      <c r="I38" s="2"/>
      <c r="J38" s="2"/>
      <c r="K38" s="2"/>
      <c r="L38" s="2"/>
      <c r="M38" s="2"/>
      <c r="N38" s="2"/>
      <c r="O38" s="2"/>
      <c r="P38" s="2"/>
      <c r="Q38" s="44"/>
      <c r="R38" s="44"/>
      <c r="S38" s="44"/>
      <c r="T38" s="44"/>
      <c r="U38" s="1"/>
      <c r="V38" s="1"/>
      <c r="W38" s="1"/>
      <c r="X38" s="1"/>
      <c r="Y38" s="1"/>
      <c r="Z38" s="1"/>
    </row>
    <row r="39" spans="1:26" ht="15.75" customHeight="1" x14ac:dyDescent="0.2">
      <c r="A39" s="2"/>
      <c r="B39" s="2"/>
      <c r="C39" s="2"/>
      <c r="D39" s="2"/>
      <c r="E39" s="2"/>
      <c r="F39" s="2"/>
      <c r="G39" s="2"/>
      <c r="H39" s="2"/>
      <c r="I39" s="2"/>
      <c r="J39" s="2"/>
      <c r="K39" s="2"/>
      <c r="L39" s="2"/>
      <c r="M39" s="2"/>
      <c r="N39" s="2"/>
      <c r="O39" s="2"/>
      <c r="P39" s="2"/>
      <c r="Q39" s="44"/>
      <c r="R39" s="44"/>
      <c r="S39" s="44"/>
      <c r="T39" s="44"/>
      <c r="U39" s="1"/>
      <c r="V39" s="1"/>
      <c r="W39" s="1"/>
      <c r="X39" s="1"/>
      <c r="Y39" s="1"/>
      <c r="Z39" s="1"/>
    </row>
    <row r="40" spans="1:26" ht="15.75" customHeight="1" x14ac:dyDescent="0.2">
      <c r="A40" s="2"/>
      <c r="B40" s="2"/>
      <c r="C40" s="2"/>
      <c r="D40" s="2"/>
      <c r="E40" s="2"/>
      <c r="F40" s="2"/>
      <c r="G40" s="2"/>
      <c r="H40" s="2"/>
      <c r="I40" s="2"/>
      <c r="J40" s="2"/>
      <c r="K40" s="2"/>
      <c r="L40" s="2"/>
      <c r="M40" s="2"/>
      <c r="N40" s="2"/>
      <c r="O40" s="2"/>
      <c r="P40" s="2"/>
      <c r="Q40" s="44"/>
      <c r="R40" s="44"/>
      <c r="S40" s="44"/>
      <c r="T40" s="44"/>
      <c r="U40" s="1"/>
      <c r="V40" s="1"/>
      <c r="W40" s="1"/>
      <c r="X40" s="1"/>
      <c r="Y40" s="1"/>
      <c r="Z40" s="1"/>
    </row>
    <row r="41" spans="1:26" ht="15.75" customHeight="1" x14ac:dyDescent="0.2">
      <c r="A41" s="2"/>
      <c r="B41" s="2"/>
      <c r="C41" s="2"/>
      <c r="D41" s="2"/>
      <c r="E41" s="2"/>
      <c r="F41" s="2"/>
      <c r="G41" s="2"/>
      <c r="H41" s="2"/>
      <c r="I41" s="2"/>
      <c r="J41" s="2"/>
      <c r="K41" s="2"/>
      <c r="L41" s="2"/>
      <c r="M41" s="2"/>
      <c r="N41" s="2"/>
      <c r="O41" s="2"/>
      <c r="P41" s="2"/>
      <c r="Q41" s="44"/>
      <c r="R41" s="44"/>
      <c r="S41" s="44"/>
      <c r="T41" s="44"/>
      <c r="U41" s="1"/>
      <c r="V41" s="1"/>
      <c r="W41" s="1"/>
      <c r="X41" s="1"/>
      <c r="Y41" s="1"/>
      <c r="Z41" s="1"/>
    </row>
    <row r="42" spans="1:26" ht="15.75" customHeight="1" x14ac:dyDescent="0.2">
      <c r="A42" s="2"/>
      <c r="B42" s="2"/>
      <c r="C42" s="2"/>
      <c r="D42" s="2"/>
      <c r="E42" s="2"/>
      <c r="F42" s="2"/>
      <c r="G42" s="2"/>
      <c r="H42" s="2"/>
      <c r="I42" s="2"/>
      <c r="J42" s="2"/>
      <c r="K42" s="2"/>
      <c r="L42" s="2"/>
      <c r="M42" s="2"/>
      <c r="N42" s="2"/>
      <c r="O42" s="2"/>
      <c r="P42" s="2"/>
      <c r="Q42" s="44"/>
      <c r="R42" s="44"/>
      <c r="S42" s="44"/>
      <c r="T42" s="44"/>
      <c r="U42" s="1"/>
      <c r="V42" s="1"/>
      <c r="W42" s="1"/>
      <c r="X42" s="1"/>
      <c r="Y42" s="1"/>
      <c r="Z42" s="1"/>
    </row>
    <row r="43" spans="1:26" ht="15.75" customHeight="1" x14ac:dyDescent="0.2">
      <c r="A43" s="2"/>
      <c r="B43" s="2"/>
      <c r="C43" s="2"/>
      <c r="D43" s="2"/>
      <c r="E43" s="2"/>
      <c r="F43" s="2"/>
      <c r="G43" s="2"/>
      <c r="H43" s="2"/>
      <c r="I43" s="2"/>
      <c r="J43" s="2"/>
      <c r="K43" s="2"/>
      <c r="L43" s="2"/>
      <c r="M43" s="2"/>
      <c r="N43" s="2"/>
      <c r="O43" s="2"/>
      <c r="P43" s="2"/>
      <c r="Q43" s="44"/>
      <c r="R43" s="44"/>
      <c r="S43" s="44"/>
      <c r="T43" s="44"/>
      <c r="U43" s="1"/>
      <c r="V43" s="1"/>
      <c r="W43" s="1"/>
      <c r="X43" s="1"/>
      <c r="Y43" s="1"/>
      <c r="Z43" s="1"/>
    </row>
    <row r="44" spans="1:26" ht="15.75" customHeight="1" x14ac:dyDescent="0.2">
      <c r="A44" s="2" t="s">
        <v>215</v>
      </c>
      <c r="B44" s="2" t="s">
        <v>178</v>
      </c>
      <c r="C44" s="2"/>
      <c r="D44" s="2"/>
      <c r="E44" s="2"/>
      <c r="F44" s="2"/>
      <c r="G44" s="2"/>
      <c r="H44" s="2"/>
      <c r="I44" s="2"/>
      <c r="J44" s="2"/>
      <c r="K44" s="2"/>
      <c r="L44" s="2"/>
      <c r="M44" s="2"/>
      <c r="N44" s="2"/>
      <c r="O44" s="2"/>
      <c r="P44" s="2"/>
      <c r="Q44" s="44"/>
      <c r="R44" s="44"/>
      <c r="S44" s="44"/>
      <c r="T44" s="44"/>
      <c r="U44" s="1"/>
      <c r="V44" s="1"/>
      <c r="W44" s="1"/>
      <c r="X44" s="1"/>
      <c r="Y44" s="1"/>
      <c r="Z44" s="1"/>
    </row>
    <row r="45" spans="1:26" ht="15.75" customHeight="1" x14ac:dyDescent="0.2">
      <c r="A45" s="2" t="s">
        <v>174</v>
      </c>
      <c r="B45" s="2" t="str">
        <f>N20</f>
        <v/>
      </c>
      <c r="C45" s="2"/>
      <c r="D45" s="2"/>
      <c r="E45" s="2"/>
      <c r="F45" s="2"/>
      <c r="G45" s="2"/>
      <c r="H45" s="2"/>
      <c r="I45" s="2"/>
      <c r="J45" s="2"/>
      <c r="K45" s="2"/>
      <c r="L45" s="2"/>
      <c r="M45" s="2"/>
      <c r="N45" s="2"/>
      <c r="O45" s="2"/>
      <c r="P45" s="2"/>
      <c r="Q45" s="44"/>
      <c r="R45" s="44"/>
      <c r="S45" s="44"/>
      <c r="T45" s="44"/>
      <c r="U45" s="1"/>
      <c r="V45" s="1"/>
      <c r="W45" s="1"/>
      <c r="X45" s="1"/>
      <c r="Y45" s="1"/>
      <c r="Z45" s="1"/>
    </row>
    <row r="46" spans="1:26" ht="15.75" customHeight="1" x14ac:dyDescent="0.2">
      <c r="A46" s="2" t="s">
        <v>175</v>
      </c>
      <c r="B46" s="73" t="str">
        <f t="shared" ref="B46:B48" si="3">N21</f>
        <v/>
      </c>
      <c r="C46" s="2"/>
      <c r="D46" s="2"/>
      <c r="E46" s="2"/>
      <c r="F46" s="2"/>
      <c r="G46" s="2"/>
      <c r="H46" s="2"/>
      <c r="I46" s="2"/>
      <c r="J46" s="2"/>
      <c r="K46" s="2"/>
      <c r="L46" s="2"/>
      <c r="M46" s="2"/>
      <c r="N46" s="2"/>
      <c r="O46" s="2"/>
      <c r="P46" s="2"/>
      <c r="Q46" s="44"/>
      <c r="R46" s="44"/>
      <c r="S46" s="44"/>
      <c r="T46" s="44"/>
      <c r="U46" s="1"/>
      <c r="V46" s="1"/>
      <c r="W46" s="1"/>
      <c r="X46" s="1"/>
      <c r="Y46" s="1"/>
      <c r="Z46" s="1"/>
    </row>
    <row r="47" spans="1:26" ht="15.75" customHeight="1" x14ac:dyDescent="0.2">
      <c r="A47" s="2" t="s">
        <v>176</v>
      </c>
      <c r="B47" s="73" t="str">
        <f t="shared" si="3"/>
        <v/>
      </c>
      <c r="C47" s="2"/>
      <c r="D47" s="2"/>
      <c r="E47" s="2"/>
      <c r="F47" s="2"/>
      <c r="G47" s="2"/>
      <c r="H47" s="2"/>
      <c r="I47" s="2"/>
      <c r="J47" s="2"/>
      <c r="K47" s="2"/>
      <c r="L47" s="2"/>
      <c r="M47" s="2"/>
      <c r="N47" s="2"/>
      <c r="O47" s="2"/>
      <c r="P47" s="2"/>
      <c r="Q47" s="44"/>
      <c r="R47" s="44"/>
      <c r="S47" s="44"/>
      <c r="T47" s="44"/>
      <c r="U47" s="1"/>
      <c r="V47" s="1"/>
      <c r="W47" s="1"/>
      <c r="X47" s="1"/>
      <c r="Y47" s="1"/>
      <c r="Z47" s="1"/>
    </row>
    <row r="48" spans="1:26" ht="15.75" customHeight="1" x14ac:dyDescent="0.2">
      <c r="A48" s="2"/>
      <c r="B48" s="73">
        <f t="shared" si="3"/>
        <v>0</v>
      </c>
      <c r="C48" s="2"/>
      <c r="D48" s="2"/>
      <c r="E48" s="2"/>
      <c r="F48" s="2"/>
      <c r="G48" s="2"/>
      <c r="H48" s="2"/>
      <c r="I48" s="2"/>
      <c r="J48" s="2"/>
      <c r="K48" s="2"/>
      <c r="L48" s="2"/>
      <c r="M48" s="2"/>
      <c r="N48" s="2"/>
      <c r="O48" s="2"/>
      <c r="P48" s="2"/>
      <c r="Q48" s="44"/>
      <c r="R48" s="44"/>
      <c r="S48" s="44"/>
      <c r="T48" s="44"/>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P1"/>
    <mergeCell ref="A3:P4"/>
  </mergeCells>
  <conditionalFormatting sqref="C13:E15">
    <cfRule type="containsText" dxfId="24" priority="1" operator="containsText" text="PASS">
      <formula>NOT(ISERROR(SEARCH(("PASS"),(C13))))</formula>
    </cfRule>
    <cfRule type="containsText" dxfId="23" priority="2" operator="containsText" text="FAIL">
      <formula>NOT(ISERROR(SEARCH(("FAIL"),(C13))))</formula>
    </cfRule>
    <cfRule type="containsText" dxfId="22" priority="3" operator="containsText" text="YES">
      <formula>NOT(ISERROR(SEARCH(("YES"),(C13))))</formula>
    </cfRule>
    <cfRule type="containsText" dxfId="21" priority="4" operator="containsText" text="NO">
      <formula>NOT(ISERROR(SEARCH(("NO"),(C13))))</formula>
    </cfRule>
    <cfRule type="containsText" dxfId="20" priority="5" operator="containsText" text="WINNER">
      <formula>NOT(ISERROR(SEARCH(("WINNER"),(C13))))</formula>
    </cfRule>
  </conditionalFormatting>
  <conditionalFormatting sqref="D20:E22">
    <cfRule type="containsText" dxfId="19" priority="6" operator="containsText" text="PASS">
      <formula>NOT(ISERROR(SEARCH(("PASS"),(D20))))</formula>
    </cfRule>
    <cfRule type="containsText" dxfId="18" priority="7" operator="containsText" text="FAIL">
      <formula>NOT(ISERROR(SEARCH(("FAIL"),(D20))))</formula>
    </cfRule>
    <cfRule type="containsText" dxfId="17" priority="8" operator="containsText" text="YES">
      <formula>NOT(ISERROR(SEARCH(("YES"),(D20))))</formula>
    </cfRule>
    <cfRule type="containsText" dxfId="16" priority="9" operator="containsText" text="NO">
      <formula>NOT(ISERROR(SEARCH(("NO"),(D20))))</formula>
    </cfRule>
    <cfRule type="containsText" dxfId="15" priority="10" operator="containsText" text="WINNER">
      <formula>NOT(ISERROR(SEARCH(("WINNER"),(D20))))</formula>
    </cfRule>
  </conditionalFormatting>
  <conditionalFormatting sqref="G13:G15">
    <cfRule type="containsText" dxfId="14" priority="13" operator="containsText" text="YES">
      <formula>NOT(ISERROR(SEARCH(("YES"),(G13))))</formula>
    </cfRule>
    <cfRule type="containsText" dxfId="13" priority="12" operator="containsText" text="FAIL">
      <formula>NOT(ISERROR(SEARCH(("FAIL"),(G13))))</formula>
    </cfRule>
    <cfRule type="containsText" dxfId="12" priority="11" operator="containsText" text="PASS">
      <formula>NOT(ISERROR(SEARCH(("PASS"),(G13))))</formula>
    </cfRule>
    <cfRule type="containsText" dxfId="11" priority="14" operator="containsText" text="NO">
      <formula>NOT(ISERROR(SEARCH(("NO"),(G13))))</formula>
    </cfRule>
    <cfRule type="containsText" dxfId="10" priority="15" operator="containsText" text="WINNER">
      <formula>NOT(ISERROR(SEARCH(("WINNER"),(G13))))</formula>
    </cfRule>
  </conditionalFormatting>
  <conditionalFormatting sqref="N20:N22">
    <cfRule type="containsText" dxfId="9" priority="16" operator="containsText" text="PASS">
      <formula>NOT(ISERROR(SEARCH(("PASS"),(N20))))</formula>
    </cfRule>
    <cfRule type="containsText" dxfId="8" priority="17" operator="containsText" text="FAIL">
      <formula>NOT(ISERROR(SEARCH(("FAIL"),(N20))))</formula>
    </cfRule>
    <cfRule type="containsText" dxfId="7" priority="18" operator="containsText" text="YES">
      <formula>NOT(ISERROR(SEARCH(("YES"),(N20))))</formula>
    </cfRule>
    <cfRule type="containsText" dxfId="6" priority="19" operator="containsText" text="NO">
      <formula>NOT(ISERROR(SEARCH(("NO"),(N20))))</formula>
    </cfRule>
    <cfRule type="containsText" dxfId="5" priority="20" operator="containsText" text="WINNER">
      <formula>NOT(ISERROR(SEARCH(("WINNER"),(N20))))</formula>
    </cfRule>
  </conditionalFormatting>
  <conditionalFormatting sqref="P20:P22">
    <cfRule type="containsText" dxfId="4" priority="21" operator="containsText" text="PASS">
      <formula>NOT(ISERROR(SEARCH(("PASS"),(P20))))</formula>
    </cfRule>
    <cfRule type="containsText" dxfId="3" priority="22" operator="containsText" text="FAIL">
      <formula>NOT(ISERROR(SEARCH(("FAIL"),(P20))))</formula>
    </cfRule>
    <cfRule type="containsText" dxfId="2" priority="23" operator="containsText" text="YES">
      <formula>NOT(ISERROR(SEARCH(("YES"),(P20))))</formula>
    </cfRule>
    <cfRule type="containsText" dxfId="1" priority="24" operator="containsText" text="NO">
      <formula>NOT(ISERROR(SEARCH(("NO"),(P20))))</formula>
    </cfRule>
    <cfRule type="containsText" dxfId="0" priority="25" operator="containsText" text="WINNER">
      <formula>NOT(ISERROR(SEARCH(("WINNER"),(P20))))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5" defaultRowHeight="15" x14ac:dyDescent="0.2"/>
  <cols>
    <col min="1" max="1" width="24" customWidth="1"/>
    <col min="2" max="2" width="32.5" customWidth="1"/>
    <col min="3" max="3" width="36.5" customWidth="1"/>
    <col min="4" max="4" width="5" customWidth="1"/>
    <col min="5" max="5" width="62.5" customWidth="1"/>
    <col min="6" max="6" width="26.5" customWidth="1"/>
    <col min="7" max="26" width="12.5" customWidth="1"/>
  </cols>
  <sheetData>
    <row r="1" spans="1:26" ht="26.75" customHeight="1" x14ac:dyDescent="0.2">
      <c r="A1" s="74" t="s">
        <v>182</v>
      </c>
      <c r="B1" s="74" t="s">
        <v>183</v>
      </c>
      <c r="C1" s="74" t="s">
        <v>184</v>
      </c>
      <c r="D1" s="74" t="s">
        <v>99</v>
      </c>
      <c r="E1" s="74" t="s">
        <v>48</v>
      </c>
      <c r="F1" s="74"/>
      <c r="G1" s="1"/>
      <c r="H1" s="1"/>
      <c r="I1" s="1"/>
      <c r="J1" s="1"/>
      <c r="K1" s="1"/>
      <c r="L1" s="1"/>
      <c r="M1" s="1"/>
      <c r="N1" s="1"/>
      <c r="O1" s="1"/>
      <c r="P1" s="1"/>
      <c r="Q1" s="1"/>
      <c r="R1" s="1"/>
      <c r="S1" s="1"/>
      <c r="T1" s="1"/>
      <c r="U1" s="1"/>
      <c r="V1" s="1"/>
      <c r="W1" s="1"/>
      <c r="X1" s="1"/>
      <c r="Y1" s="1"/>
      <c r="Z1" s="1"/>
    </row>
    <row r="2" spans="1:26" ht="26.75" customHeight="1" x14ac:dyDescent="0.2">
      <c r="A2" s="1" t="s">
        <v>185</v>
      </c>
      <c r="B2" s="1" t="s">
        <v>186</v>
      </c>
      <c r="C2" s="1">
        <f>'Team A'!G45</f>
        <v>0</v>
      </c>
      <c r="D2" s="1" t="s">
        <v>187</v>
      </c>
      <c r="E2" s="1" t="s">
        <v>188</v>
      </c>
      <c r="F2" s="1"/>
      <c r="G2" s="1"/>
      <c r="H2" s="1"/>
      <c r="I2" s="1"/>
      <c r="J2" s="1"/>
      <c r="K2" s="1"/>
      <c r="L2" s="1"/>
      <c r="M2" s="1"/>
      <c r="N2" s="1"/>
      <c r="O2" s="1"/>
      <c r="P2" s="1"/>
      <c r="Q2" s="1"/>
      <c r="R2" s="1"/>
      <c r="S2" s="1"/>
      <c r="T2" s="1"/>
      <c r="U2" s="1"/>
      <c r="V2" s="1"/>
      <c r="W2" s="1"/>
      <c r="X2" s="1"/>
      <c r="Y2" s="1"/>
      <c r="Z2" s="1"/>
    </row>
    <row r="3" spans="1:26" ht="26.75" customHeight="1" x14ac:dyDescent="0.2">
      <c r="A3" s="74" t="s">
        <v>189</v>
      </c>
      <c r="B3" s="74" t="s">
        <v>190</v>
      </c>
      <c r="C3" s="74" t="str">
        <f>'Team A'!G47</f>
        <v>Status</v>
      </c>
      <c r="D3" s="74" t="s">
        <v>187</v>
      </c>
      <c r="E3" s="74" t="s">
        <v>191</v>
      </c>
      <c r="F3" s="74"/>
      <c r="G3" s="1"/>
      <c r="H3" s="1"/>
      <c r="I3" s="1"/>
      <c r="J3" s="1"/>
      <c r="K3" s="1"/>
      <c r="L3" s="1"/>
      <c r="M3" s="1"/>
      <c r="N3" s="1"/>
      <c r="O3" s="1"/>
      <c r="P3" s="1"/>
      <c r="Q3" s="1"/>
      <c r="R3" s="1"/>
      <c r="S3" s="1"/>
      <c r="T3" s="1"/>
      <c r="U3" s="1"/>
      <c r="V3" s="1"/>
      <c r="W3" s="1"/>
      <c r="X3" s="1"/>
      <c r="Y3" s="1"/>
      <c r="Z3" s="1"/>
    </row>
    <row r="4" spans="1:26" ht="26.75" customHeight="1" x14ac:dyDescent="0.2">
      <c r="A4" s="63" t="s">
        <v>192</v>
      </c>
      <c r="B4" s="63" t="s">
        <v>186</v>
      </c>
      <c r="C4" s="63">
        <f>'Team A'!J74</f>
        <v>0</v>
      </c>
      <c r="D4" s="63" t="s">
        <v>187</v>
      </c>
      <c r="E4" s="63" t="s">
        <v>193</v>
      </c>
      <c r="F4" s="63"/>
      <c r="G4" s="1"/>
      <c r="H4" s="1"/>
      <c r="I4" s="1"/>
      <c r="J4" s="1"/>
      <c r="K4" s="1"/>
      <c r="L4" s="1"/>
      <c r="M4" s="1"/>
      <c r="N4" s="1"/>
      <c r="O4" s="1"/>
      <c r="P4" s="1"/>
      <c r="Q4" s="1"/>
      <c r="R4" s="1"/>
      <c r="S4" s="1"/>
      <c r="T4" s="1"/>
      <c r="U4" s="1"/>
      <c r="V4" s="1"/>
      <c r="W4" s="1"/>
      <c r="X4" s="1"/>
      <c r="Y4" s="1"/>
      <c r="Z4" s="1"/>
    </row>
    <row r="5" spans="1:26" ht="26.75" customHeight="1" x14ac:dyDescent="0.2">
      <c r="A5" s="63" t="s">
        <v>194</v>
      </c>
      <c r="B5" s="63" t="s">
        <v>190</v>
      </c>
      <c r="C5" s="63" t="str">
        <f>'Team A'!J76</f>
        <v>Status</v>
      </c>
      <c r="D5" s="63" t="s">
        <v>187</v>
      </c>
      <c r="E5" s="63" t="s">
        <v>195</v>
      </c>
      <c r="F5" s="63"/>
      <c r="G5" s="1"/>
      <c r="H5" s="1"/>
      <c r="I5" s="1"/>
      <c r="J5" s="1"/>
      <c r="K5" s="1"/>
      <c r="L5" s="1"/>
      <c r="M5" s="1"/>
      <c r="N5" s="1"/>
      <c r="O5" s="1"/>
      <c r="P5" s="1"/>
      <c r="Q5" s="1"/>
      <c r="R5" s="1"/>
      <c r="S5" s="1"/>
      <c r="T5" s="1"/>
      <c r="U5" s="1"/>
      <c r="V5" s="1"/>
      <c r="W5" s="1"/>
      <c r="X5" s="1"/>
      <c r="Y5" s="1"/>
      <c r="Z5" s="1"/>
    </row>
    <row r="6" spans="1:26" ht="26.75" customHeight="1" x14ac:dyDescent="0.2">
      <c r="A6" s="63" t="s">
        <v>216</v>
      </c>
      <c r="B6" s="63" t="s">
        <v>217</v>
      </c>
      <c r="C6" s="63" t="s">
        <v>218</v>
      </c>
      <c r="D6" s="63" t="s">
        <v>219</v>
      </c>
      <c r="E6" s="63"/>
      <c r="F6" s="63"/>
      <c r="G6" s="1"/>
      <c r="H6" s="1"/>
      <c r="I6" s="1"/>
      <c r="J6" s="1"/>
      <c r="K6" s="1"/>
      <c r="L6" s="1"/>
      <c r="M6" s="1"/>
      <c r="N6" s="1"/>
      <c r="O6" s="1"/>
      <c r="P6" s="1"/>
      <c r="Q6" s="1"/>
      <c r="R6" s="1"/>
      <c r="S6" s="1"/>
      <c r="T6" s="1"/>
      <c r="U6" s="1"/>
      <c r="V6" s="1"/>
      <c r="W6" s="1"/>
      <c r="X6" s="1"/>
      <c r="Y6" s="1"/>
      <c r="Z6" s="1"/>
    </row>
    <row r="7" spans="1:26" ht="49.25" customHeight="1" x14ac:dyDescent="0.2">
      <c r="A7" s="63"/>
      <c r="B7" s="63"/>
      <c r="C7" s="63"/>
      <c r="D7" s="63"/>
      <c r="E7" s="63"/>
      <c r="F7" s="63"/>
      <c r="G7" s="1"/>
      <c r="H7" s="1"/>
      <c r="I7" s="1"/>
      <c r="J7" s="1"/>
      <c r="K7" s="1"/>
      <c r="L7" s="1"/>
      <c r="M7" s="1"/>
      <c r="N7" s="1"/>
      <c r="O7" s="1"/>
      <c r="P7" s="1"/>
      <c r="Q7" s="1"/>
      <c r="R7" s="1"/>
      <c r="S7" s="1"/>
      <c r="T7" s="1"/>
      <c r="U7" s="1"/>
      <c r="V7" s="1"/>
      <c r="W7" s="1"/>
      <c r="X7" s="1"/>
      <c r="Y7" s="1"/>
      <c r="Z7" s="1"/>
    </row>
    <row r="8" spans="1:26" ht="26.75" customHeight="1" x14ac:dyDescent="0.2">
      <c r="A8" s="63"/>
      <c r="B8" s="63"/>
      <c r="C8" s="63"/>
      <c r="D8" s="63"/>
      <c r="E8" s="63"/>
      <c r="F8" s="63"/>
      <c r="G8" s="1"/>
      <c r="H8" s="1"/>
      <c r="I8" s="1"/>
      <c r="J8" s="1"/>
      <c r="K8" s="1"/>
      <c r="L8" s="1"/>
      <c r="M8" s="1"/>
      <c r="N8" s="1"/>
      <c r="O8" s="1"/>
      <c r="P8" s="1"/>
      <c r="Q8" s="1"/>
      <c r="R8" s="1"/>
      <c r="S8" s="1"/>
      <c r="T8" s="1"/>
      <c r="U8" s="1"/>
      <c r="V8" s="1"/>
      <c r="W8" s="1"/>
      <c r="X8" s="1"/>
      <c r="Y8" s="1"/>
      <c r="Z8" s="1"/>
    </row>
    <row r="9" spans="1:26" ht="49.25" customHeight="1" x14ac:dyDescent="0.2">
      <c r="A9" s="63"/>
      <c r="B9" s="63"/>
      <c r="C9" s="63"/>
      <c r="D9" s="63"/>
      <c r="E9" s="63"/>
      <c r="F9" s="63"/>
      <c r="G9" s="1"/>
      <c r="H9" s="1"/>
      <c r="I9" s="1"/>
      <c r="J9" s="1"/>
      <c r="K9" s="1"/>
      <c r="L9" s="1"/>
      <c r="M9" s="1"/>
      <c r="N9" s="1"/>
      <c r="O9" s="1"/>
      <c r="P9" s="1"/>
      <c r="Q9" s="1"/>
      <c r="R9" s="1"/>
      <c r="S9" s="1"/>
      <c r="T9" s="1"/>
      <c r="U9" s="1"/>
      <c r="V9" s="1"/>
      <c r="W9" s="1"/>
      <c r="X9" s="1"/>
      <c r="Y9" s="1"/>
      <c r="Z9" s="1"/>
    </row>
    <row r="10" spans="1:26" ht="26.75" customHeight="1" x14ac:dyDescent="0.2">
      <c r="A10" s="63"/>
      <c r="B10" s="63"/>
      <c r="C10" s="63"/>
      <c r="D10" s="63"/>
      <c r="E10" s="63"/>
      <c r="F10" s="63"/>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8"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8"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8"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8"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8"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8"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8"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8"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8"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8"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8"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8"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8"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8"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8"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8"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8"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8"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8"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8"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8"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8"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8"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8"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8"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8"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8"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8"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8"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8"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8"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8"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8"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8"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8"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8"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8"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8"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8"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8"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8"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8"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8"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8"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8"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8"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8"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8"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8"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8"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8"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8"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8"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8"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8"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8"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8"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8"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8"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8"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8"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8"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8"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8"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8"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8"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8"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8"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8"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8"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8"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8"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8"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8"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8"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8"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8"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8"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8"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8"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8"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8"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8"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8"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8"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8"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8"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8"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8"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8"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8"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8"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8"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8"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8"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8"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8"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8"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8"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8"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8"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8"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8"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8"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8"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8"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8"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8"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8"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8"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8"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8"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8"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8"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8"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8"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8"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8"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8"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8"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8"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8"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8"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8"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8"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8"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8"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8"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8"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8"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8"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8"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8"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8"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8"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8"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8"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8"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8"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8"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8"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8"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8"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8"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8"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8"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8"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8"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8"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8"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8"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8"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8"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8"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8"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8"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8"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8"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8"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8"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8"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8"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8"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8"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8"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8"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8"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8"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8"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8"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8"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8"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8"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8"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8"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8"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8"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8"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8"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8"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8"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8"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8"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8"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8"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8"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8"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8"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8"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8"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8"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8"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8"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8"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8"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8"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8"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8"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8"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8"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8"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8"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8"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8"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8"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8"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8"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8"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8"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8"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8"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8"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8"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8"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8"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8"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8"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8"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8"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8"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8"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8"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8"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8"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8"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8"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8"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8"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8"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8"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8"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8"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8"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8"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8"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8"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8"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8"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8"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8"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8"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8"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8"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8"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8"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8"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8"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8"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8"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8"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8"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8"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8"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8"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8"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8"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8"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8"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8"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8"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8"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8"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8"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8"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8"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8"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8"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8"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8"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8"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8"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8"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8"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8"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8"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8"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8"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8"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8"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8"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8"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8"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8"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8"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8"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8"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8"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8"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8"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8"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8"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8"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8"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8"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8"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8"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8"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8"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8"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8"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8"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8"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8"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8"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8"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8"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8"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8"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8"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8"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8"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8"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8"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8"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8"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8"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8"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8"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8"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8"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8"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8"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8"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8"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8"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8"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8"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8"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8"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8"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8"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8"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8"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8"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8"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8"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8"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8"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8"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8"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8"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8"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8"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8"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8"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8"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8"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8"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8"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8"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8"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8"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8"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8"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8"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8"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8"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8"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8"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8"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8"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8"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8"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8"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8"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8"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8"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8"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8"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8"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8"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8"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8"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8"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8"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8"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8"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8"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8"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8"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8"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8"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8"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8"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8"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8"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8"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8"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8"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8"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8"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8"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8"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8"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8"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8"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8"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8"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8"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8"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8"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8"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8"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8"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8"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8"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8"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8"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8"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8"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8"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8"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8"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8"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8"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8"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8"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8"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8"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8"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8"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8"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8"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8"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8"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8"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8"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8"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8"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8"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8"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8"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8"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8"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8"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8"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8"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8"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8"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8"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8"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8"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8"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8"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8"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8"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8"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8"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8"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8"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8"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8"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8"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8"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8"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8"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8"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8"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8"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8"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8"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8"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8"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8"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8"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8"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8"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8"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8"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8"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8"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8"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8"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8"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8"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8"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8"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8"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8"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8"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8"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8"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8"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8"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8"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8"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8"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8"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8"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8"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8"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8"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8"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8"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8"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8"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8"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8"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8"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8"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8"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8"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8"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8"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8"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8"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8"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8"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8"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8"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8"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8"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8"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8"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8"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8"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8"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8"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8"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8"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8"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8"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8"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8"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8"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8"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8"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8"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8"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8"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8"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8"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8"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8"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8"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8"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8"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8"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8"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8"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8"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8"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8"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8"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8"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8"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8"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8"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8"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8"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8"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8"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8"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8"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8"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8"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8"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8"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8"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8"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8"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8"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8"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8"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8"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8"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8"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8"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8"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8"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8"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8"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8"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8"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8"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8"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8"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8"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8"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8"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8"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8"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8"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8"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8"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8"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8"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8"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8"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8"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8"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8"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8"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8"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8"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8"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8"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8"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8"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8"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8"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8"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8"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8"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8"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8"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8"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8"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8"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8"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8"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8"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8"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8"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8"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8"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8"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8"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8"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8"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8"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8"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8"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8"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8"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8"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8"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8"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8"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8"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8"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8"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8"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8"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8"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8"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8"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8"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8"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8"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8"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8"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8"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8"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8"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8"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8"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8"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8"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8"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8"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8"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8"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8"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8"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8"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8"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8"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8"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8"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8"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8"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8"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8"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8"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8"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8"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8"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8"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8"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8"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8"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8"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8"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8"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8"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8"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8"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8"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8"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8"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8"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8"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8"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8"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8"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8"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8"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8"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8"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8"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8"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8"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8"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8"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8"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8"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8"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8"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8"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8"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8"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8"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8"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8"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8"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8"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8"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8"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8"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8"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8"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8"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8"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8"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8"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8"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8"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8"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8"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8"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8"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8"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8"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8"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8"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8"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8"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8"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8"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8"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8"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8"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8"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8"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8"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8"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8"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8"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8"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8"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8"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8"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8"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8"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8"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8"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8"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8"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8"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8"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8"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8"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8"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8"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8"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8"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8"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8"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8"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8"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8"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8"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8"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8"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8"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8"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8"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8"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8"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8"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8"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8"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8"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8"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8"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8"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8"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8"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8"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8"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8"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8"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8"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8"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8"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8"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8"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8"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8"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8"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8"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8"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8"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8"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8"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8"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8"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8"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8"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8"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8"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8"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8"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8"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8"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8"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8"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8"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8"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8"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8"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8"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8"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8"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8"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8"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8"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8"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8"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8"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8"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8"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8"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8"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8"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8"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8"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8"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8"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8"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8"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8"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8"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8"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8"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8"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8"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8"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8"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8"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8"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8"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8"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8"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8"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8"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8"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8"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8"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8"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8"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8"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8"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8"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8"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8"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8"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8"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8"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8"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8"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8"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8"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8"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8"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8"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8"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8"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8"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8"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8"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8"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8"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8"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8"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8"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8"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8"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8"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8"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8"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8"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8"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8"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8"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8"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8"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8"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8"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8"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8"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8"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8"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8"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8"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8"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8"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8"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8"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8"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8"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8"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8"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8"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8"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8"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8"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8"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8"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8"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8"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8"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8"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8"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8"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8"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8"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8"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8"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8"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8"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8"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8"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8"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8"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8"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8"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8"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8"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8"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8"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8"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8"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8"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8"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8"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8"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8"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8"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8"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8"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8"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8"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8"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8"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8"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8"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8"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8"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8"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8"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8"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8"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8"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8"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8"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8"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8"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8"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8"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8"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8"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8"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8"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8"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8"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8"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8"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8"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8"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8"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8"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8"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Team A</vt:lpstr>
      <vt:lpstr>Scoring Backend</vt:lpstr>
      <vt:lpstr>Team B</vt:lpstr>
      <vt:lpstr>Team C</vt:lpstr>
      <vt:lpstr>Summary</vt:lpstr>
      <vt:lpstr>Formula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Yifan Xu</cp:lastModifiedBy>
  <dcterms:modified xsi:type="dcterms:W3CDTF">2026-06-15T17:49:29Z</dcterms:modified>
</cp:coreProperties>
</file>